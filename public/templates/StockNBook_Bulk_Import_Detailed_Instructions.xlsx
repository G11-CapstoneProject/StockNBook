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steph\OneDrive\ドキュメント\Steph's Files\"/>
    </mc:Choice>
  </mc:AlternateContent>
  <xr:revisionPtr revIDLastSave="0" documentId="13_ncr:1_{D6CE49CD-6619-407F-9EDB-751E9784C70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ART HERE" sheetId="1" r:id="rId1"/>
    <sheet name="PRODUCTS AND VARIANTS" sheetId="2" r:id="rId2"/>
    <sheet name="PURCHASE 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6" i="2" l="1"/>
  <c r="K106" i="2"/>
  <c r="M105" i="2"/>
  <c r="K105" i="2"/>
  <c r="M104" i="2"/>
  <c r="K104" i="2"/>
  <c r="M103" i="2"/>
  <c r="K103" i="2"/>
  <c r="M102" i="2"/>
  <c r="K102" i="2"/>
  <c r="M101" i="2"/>
  <c r="K101" i="2"/>
  <c r="M100" i="2"/>
  <c r="K100" i="2"/>
  <c r="M99" i="2"/>
  <c r="K99" i="2"/>
  <c r="M98" i="2"/>
  <c r="K98" i="2"/>
  <c r="M97" i="2"/>
  <c r="K97" i="2"/>
  <c r="M96" i="2"/>
  <c r="K96" i="2"/>
  <c r="M95" i="2"/>
  <c r="K95" i="2"/>
  <c r="M94" i="2"/>
  <c r="K94" i="2"/>
  <c r="M93" i="2"/>
  <c r="K93" i="2"/>
  <c r="M92" i="2"/>
  <c r="K92" i="2"/>
  <c r="M91" i="2"/>
  <c r="K91" i="2"/>
  <c r="M90" i="2"/>
  <c r="K90" i="2"/>
  <c r="M89" i="2"/>
  <c r="K89" i="2"/>
  <c r="M88" i="2"/>
  <c r="K88" i="2"/>
  <c r="M87" i="2"/>
  <c r="K87" i="2"/>
  <c r="M86" i="2"/>
  <c r="K86" i="2"/>
  <c r="M85" i="2"/>
  <c r="K85" i="2"/>
  <c r="M84" i="2"/>
  <c r="K84" i="2"/>
  <c r="M83" i="2"/>
  <c r="K83" i="2"/>
  <c r="M82" i="2"/>
  <c r="K82" i="2"/>
  <c r="M81" i="2"/>
  <c r="K81" i="2"/>
  <c r="M80" i="2"/>
  <c r="K80" i="2"/>
  <c r="M79" i="2"/>
  <c r="K79" i="2"/>
  <c r="M78" i="2"/>
  <c r="K78" i="2"/>
  <c r="M77" i="2"/>
  <c r="K77" i="2"/>
  <c r="M76" i="2"/>
  <c r="K76" i="2"/>
  <c r="M75" i="2"/>
  <c r="K75" i="2"/>
  <c r="M74" i="2"/>
  <c r="K74" i="2"/>
  <c r="M73" i="2"/>
  <c r="K73" i="2"/>
  <c r="M72" i="2"/>
  <c r="K72" i="2"/>
  <c r="M71" i="2"/>
  <c r="K71" i="2"/>
  <c r="M70" i="2"/>
  <c r="K70" i="2"/>
  <c r="M69" i="2"/>
  <c r="K69" i="2"/>
  <c r="M68" i="2"/>
  <c r="K68" i="2"/>
  <c r="M67" i="2"/>
  <c r="K67" i="2"/>
  <c r="M66" i="2"/>
  <c r="K66" i="2"/>
  <c r="M65" i="2"/>
  <c r="K65" i="2"/>
  <c r="M64" i="2"/>
  <c r="K64" i="2"/>
  <c r="M63" i="2"/>
  <c r="K63" i="2"/>
  <c r="M62" i="2"/>
  <c r="K62" i="2"/>
  <c r="M61" i="2"/>
  <c r="K61" i="2"/>
  <c r="M60" i="2"/>
  <c r="K60" i="2"/>
  <c r="M59" i="2"/>
  <c r="K59" i="2"/>
  <c r="M58" i="2"/>
  <c r="K58" i="2"/>
  <c r="M57" i="2"/>
  <c r="K57" i="2"/>
  <c r="M56" i="2"/>
  <c r="K56" i="2"/>
  <c r="M55" i="2"/>
  <c r="K55" i="2"/>
  <c r="M54" i="2"/>
  <c r="K54" i="2"/>
  <c r="M53" i="2"/>
  <c r="K53" i="2"/>
  <c r="M52" i="2"/>
  <c r="K52" i="2"/>
  <c r="M51" i="2"/>
  <c r="K51" i="2"/>
  <c r="M50" i="2"/>
  <c r="K50" i="2"/>
  <c r="M49" i="2"/>
  <c r="K49" i="2"/>
  <c r="M48" i="2"/>
  <c r="K48" i="2"/>
  <c r="M47" i="2"/>
  <c r="K47" i="2"/>
  <c r="M46" i="2"/>
  <c r="K46" i="2"/>
  <c r="M45" i="2"/>
  <c r="K45" i="2"/>
  <c r="M44" i="2"/>
  <c r="K44" i="2"/>
  <c r="M43" i="2"/>
  <c r="K43" i="2"/>
  <c r="M42" i="2"/>
  <c r="K42" i="2"/>
  <c r="M41" i="2"/>
  <c r="K41" i="2"/>
  <c r="M40" i="2"/>
  <c r="K40" i="2"/>
  <c r="M39" i="2"/>
  <c r="K39" i="2"/>
  <c r="M38" i="2"/>
  <c r="K38" i="2"/>
  <c r="M37" i="2"/>
  <c r="K37" i="2"/>
  <c r="M36" i="2"/>
  <c r="K36" i="2"/>
  <c r="M35" i="2"/>
  <c r="K35" i="2"/>
  <c r="M34" i="2"/>
  <c r="K34" i="2"/>
  <c r="M33" i="2"/>
  <c r="K33" i="2"/>
  <c r="M32" i="2"/>
  <c r="K32" i="2"/>
  <c r="M31" i="2"/>
  <c r="K31" i="2"/>
  <c r="M30" i="2"/>
  <c r="K30" i="2"/>
  <c r="M29" i="2"/>
  <c r="K29" i="2"/>
  <c r="M28" i="2"/>
  <c r="K28" i="2"/>
  <c r="M27" i="2"/>
  <c r="K27" i="2"/>
  <c r="M26" i="2"/>
  <c r="K26" i="2"/>
  <c r="M25" i="2"/>
  <c r="K25" i="2"/>
  <c r="M24" i="2"/>
  <c r="K24" i="2"/>
  <c r="M23" i="2"/>
  <c r="K23" i="2"/>
  <c r="M22" i="2"/>
  <c r="K22" i="2"/>
  <c r="M21" i="2"/>
  <c r="K21" i="2"/>
  <c r="M20" i="2"/>
  <c r="K20" i="2"/>
  <c r="M19" i="2"/>
  <c r="K19" i="2"/>
  <c r="M18" i="2"/>
  <c r="K18" i="2"/>
  <c r="M17" i="2"/>
  <c r="K17" i="2"/>
  <c r="M16" i="2"/>
  <c r="K16" i="2"/>
  <c r="M15" i="2"/>
  <c r="K15" i="2"/>
  <c r="M14" i="2"/>
  <c r="K14" i="2"/>
  <c r="M13" i="2"/>
  <c r="K13" i="2"/>
  <c r="M12" i="2"/>
  <c r="K12" i="2"/>
  <c r="M11" i="2"/>
  <c r="K11" i="2"/>
  <c r="M10" i="2"/>
  <c r="K10" i="2"/>
  <c r="M9" i="2"/>
  <c r="K9" i="2"/>
  <c r="M8" i="2"/>
  <c r="K8" i="2"/>
  <c r="M7" i="2"/>
  <c r="K7" i="2"/>
  <c r="G7" i="3" l="1"/>
  <c r="H7" i="3" l="1"/>
  <c r="I7" i="3" s="1"/>
  <c r="J7" i="3" s="1"/>
</calcChain>
</file>

<file path=xl/sharedStrings.xml><?xml version="1.0" encoding="utf-8"?>
<sst xmlns="http://schemas.openxmlformats.org/spreadsheetml/2006/main" count="147" uniqueCount="120">
  <si>
    <t>STOCKNBOOK | ONE SUPPLIER PER BULK IMPORT</t>
  </si>
  <si>
    <t>ONE FILE = ONE PURCHASE</t>
  </si>
  <si>
    <t>Record ONE supplier purchase per XLSX file. The same file may contain many products and many variants. Separate purchases—even from the same supplier—need separate files.</t>
  </si>
  <si>
    <t>BEFORE YOU START</t>
  </si>
  <si>
    <t>Use the PURCHASE DETAILS and PRODUCTS AND VARIANTS tabs. Type only in editable input cells. Do not replace the header labels or overwrite green calculated cells.</t>
  </si>
  <si>
    <t>STEP 1 — PURCHASE DETAILS</t>
  </si>
  <si>
    <t>Go to PURCHASE DETAILS. Fill ONLY row 7. Do not enter supplier details in rows 8 onward; comments or other values there can cause a validation error.</t>
  </si>
  <si>
    <t>SUPPLIER (A7)</t>
  </si>
  <si>
    <t>Required. Enter the actual supplier name, e.g., Puregold. All products listed in this workbook must be purchased from that supplier in the same transaction.</t>
  </si>
  <si>
    <t>SUPPLIER INVOICE (B7)</t>
  </si>
  <si>
    <t>Optional. Enter the number shown on the supplier's invoice or receipt, e.g., PG-0001. Leave blank if none. This is NOT StockNBook's internal Purchase Number.</t>
  </si>
  <si>
    <t>PURCHASE DATE (C7)</t>
  </si>
  <si>
    <t>Required. Use YYYY-MM-DD, e.g., 2026-10-09. Excel date cells are accepted; for text, ISO format is safest. Do not type words such as 'today'.</t>
  </si>
  <si>
    <t>PAYMENT METHOD (D7)</t>
  </si>
  <si>
    <t>Required. Select Cash or Credit. Cash means the supplier purchase is fully paid; Credit means payment may be partial or unpaid.</t>
  </si>
  <si>
    <t>AMOUNT PAID (E7)</t>
  </si>
  <si>
    <t>Cash: leave blank or enter the full combined cost. Credit: enter how much you actually paid upfront (0 is allowed). Do not enter a value above the combined purchase total.</t>
  </si>
  <si>
    <t>PAYMENT DUE DATE (F7)</t>
  </si>
  <si>
    <t>For Credit with a remaining balance, required. Use YYYY-MM-DD and a date on or after the Purchase Date. For Cash, leave blank.</t>
  </si>
  <si>
    <t>CALCULATED CELLS (G7:J7)</t>
  </si>
  <si>
    <t>Total Cost, Paid Total, Balance and Payment Status are calculated from your entered products and payment. Do not type over these cells.</t>
  </si>
  <si>
    <t>STEP 2 — PRODUCTS</t>
  </si>
  <si>
    <t>Go to PRODUCTS AND VARIANTS. Starting at row 7, enter one regular product per row, OR one product variant per row. Every row belongs to the supplier purchase in PURCHASE DETAILS.</t>
  </si>
  <si>
    <t>PRODUCT NAME (A)</t>
  </si>
  <si>
    <t>Required, e.g., Glass. For variants of the SAME product, repeat EXACTLY the same Product Name in each variant row.</t>
  </si>
  <si>
    <t>CATEGORY (B)</t>
  </si>
  <si>
    <t>Required, e.g., Kitchen Ware. Use an appropriate category name; all variant rows of one product must have the same category.</t>
  </si>
  <si>
    <t>HAS VARIANTS (C)</t>
  </si>
  <si>
    <t>Required: Yes or No. Enter Yes for sizes/colors/packaging options; enter No for an ordinary product without variants. Keep the setting consistent within a product.</t>
  </si>
  <si>
    <t>VARIANT DETAILS (D)</t>
  </si>
  <si>
    <t>If Has Variants = Yes, use Attribute: Value; Attribute: Value. Example: Color: Blue; Size: Small. If Has Variants = No, leave this cell BLANK.</t>
  </si>
  <si>
    <t>PUNCTUATION RULE</t>
  </si>
  <si>
    <t>Use a COLON (:) between attribute name and value. Use a SEMICOLON (;) between different attributes. Spaces after ; are optional. Do NOT use commas (,) or slashes (/) to separate attributes.</t>
  </si>
  <si>
    <t>CORRECT VARIANT EXAMPLES</t>
  </si>
  <si>
    <t>Color: Blue; Size: Small   |   Size: Large; Color: Pink   |   Packaging: Box; Color: Red   |   Size: 500ml</t>
  </si>
  <si>
    <t>WRONG VARIANT EXAMPLES</t>
  </si>
  <si>
    <t>Wrong: Color: Blue, Size: Small  (comma)   |   Wrong: Blue / Small  (no keys)   |   Wrong: Color Blue; Size Small  (missing colons)</t>
  </si>
  <si>
    <t>VARIANT RULES</t>
  </si>
  <si>
    <t>A combination must be unique for that product. 'Color: Blue; Size: Small' and 'Size: Small; Color: Blue' represent the SAME variant; do not enter it twice.</t>
  </si>
  <si>
    <t>STOCK (E)</t>
  </si>
  <si>
    <t>Required: whole number of units physically received in THIS purchase, e.g., 20. For this supplier-purchase import, enter a positive number for each imported product/variant.</t>
  </si>
  <si>
    <t>REORDER POINT (F)</t>
  </si>
  <si>
    <t>Required: whole nonnegative number, e.g., 5. It is the low-stock trigger; it is not a quantity being purchased.</t>
  </si>
  <si>
    <t>COST PRICE (G)</t>
  </si>
  <si>
    <t>Required: nonnegative UNIT PURCHASE COST, e.g., 45.00. Do not enter the total for all units here. For 20 units at ₱45 each, the calculated line cost is ₱900.</t>
  </si>
  <si>
    <t>PRICING METHOD (H)</t>
  </si>
  <si>
    <t>Required: Markup or Manual. You choose how the Final Selling Price is calculated; it does not change the supplier purchase cost.</t>
  </si>
  <si>
    <t>MARKUP (%) (I)</t>
  </si>
  <si>
    <t>If Markup, enter percentage as a number, e.g., 30 for 30% (NOT 0.30). Leave Manual Selling Price blank. Selling Price (Auto) = Unit Cost × (1 + Markup / 100).</t>
  </si>
  <si>
    <t>MANUAL SELLING (J)</t>
  </si>
  <si>
    <t>If Manual, enter the final unit selling price (e.g., 59.00), and leave Markup (%) blank. The business controls the final selling price.</t>
  </si>
  <si>
    <t>SELLING PRICE (K)</t>
  </si>
  <si>
    <t>Automatically calculated. Check that it matches your intended price; do not overwrite this green formula column.</t>
  </si>
  <si>
    <t>EXPIRATION DATE (L)</t>
  </si>
  <si>
    <t>Optional. Enter YYYY-MM-DD, e.g., 2027-04-30, or leave blank if the item does not expire. Use each variant's own expiry when applicable.</t>
  </si>
  <si>
    <t>INITIAL COST (M)</t>
  </si>
  <si>
    <t>Automatically calculated: Stock × Unit Cost. Do not edit this green formula column.</t>
  </si>
  <si>
    <t>MULTIPLE PRODUCTS</t>
  </si>
  <si>
    <t>Example: Glass with 4 color/size variants plus Ballpen with 3 colors can be in the same file ONLY if purchased together from this ONE supplier in the SAME transaction.</t>
  </si>
  <si>
    <t>WHAT NOT TO ENTER</t>
  </si>
  <si>
    <t>No Purchase Ref, Products Included, internal Purchase Number, Product Number, or Variant Number. StockNBook generates its own identifiers only after successful import.</t>
  </si>
  <si>
    <t>VALIDATION WARNINGS</t>
  </si>
  <si>
    <t>Click Preview Import before Confirm Import. If a cell is invalid, StockNBook displays a warning indicating its sheet/row/field. Correct the Excel file, save it, select it again, and retry.</t>
  </si>
  <si>
    <t>COMMON ERRORS</t>
  </si>
  <si>
    <t>Using a comma instead of ; in Variant Details, entering duplicate variants, missing required costs/stock, incorrect Cash/Credit values, two PURCHASE DETAILS rows, or missing credit due date.</t>
  </si>
  <si>
    <t>AFTER SUCCESSFUL IMPORT</t>
  </si>
  <si>
    <t>StockNBook creates the products/variants and ONE purchase transaction, generates identifiers, and records the initial payment ONCE—not once for every variant.</t>
  </si>
  <si>
    <t>ANOTHER SUPPLIER OR DATE</t>
  </si>
  <si>
    <t>Create and upload another XLSX file for each separate supplier purchase. Do not mix different suppliers or purchase occasions in one workbook.</t>
  </si>
  <si>
    <t>STOCKNBOOK | PRODUCTS &amp; VARIANTS</t>
  </si>
  <si>
    <t>ONE SUPPLIER PURCHASE | Each row is one regular product or one variant. No purchase reference is needed.</t>
  </si>
  <si>
    <t>VARIANT DETAILS EXAMPLE: Color: Blue; Size: Small   |   Separate attributes with ; and each name/value with : (not comma).</t>
  </si>
  <si>
    <t>Product Name</t>
  </si>
  <si>
    <t>Category</t>
  </si>
  <si>
    <t>Has Variants</t>
  </si>
  <si>
    <t>Variant Details</t>
  </si>
  <si>
    <t>Stock</t>
  </si>
  <si>
    <t>Reorder Point</t>
  </si>
  <si>
    <t>Cost Price (₱)</t>
  </si>
  <si>
    <t>Pricing Method</t>
  </si>
  <si>
    <t>Markup (%)</t>
  </si>
  <si>
    <t>Manual Selling Price (₱)</t>
  </si>
  <si>
    <t>Selling Price (Auto)</t>
  </si>
  <si>
    <t>Expiration Date</t>
  </si>
  <si>
    <t>Initial Cost (Auto)</t>
  </si>
  <si>
    <t>STOCKNBOOK | ONE SUPPLIER &amp; PURCHASE</t>
  </si>
  <si>
    <t>Fill ONLY row 7. All products and variants in this Excel file belong to this one supplier purchase.</t>
  </si>
  <si>
    <t>Supplier</t>
  </si>
  <si>
    <t>Supplier Invoice Number (Optional)</t>
  </si>
  <si>
    <t>Purchase Date</t>
  </si>
  <si>
    <t>Payment Method</t>
  </si>
  <si>
    <t>Amount Paid (₱)</t>
  </si>
  <si>
    <t>Payment Due Date</t>
  </si>
  <si>
    <t>Total Cost (Auto)</t>
  </si>
  <si>
    <t>Paid Total (Auto)</t>
  </si>
  <si>
    <t>Balance (Auto)</t>
  </si>
  <si>
    <t>Payment Status</t>
  </si>
  <si>
    <t>Kitchen Ware</t>
  </si>
  <si>
    <t>Yes</t>
  </si>
  <si>
    <t>Size: Small; Color: Blue</t>
  </si>
  <si>
    <t>Markup</t>
  </si>
  <si>
    <t>Size: Small; Color: Pink</t>
  </si>
  <si>
    <t>Size: Large; Color: Blue</t>
  </si>
  <si>
    <t>Rampa</t>
  </si>
  <si>
    <t>No</t>
  </si>
  <si>
    <t>Manual</t>
  </si>
  <si>
    <t>Only row 7 is for the supplier purchase. Use DD-MM-YYYY dates; do not type in calculated columns G–J.</t>
  </si>
  <si>
    <t>Tote Bag</t>
  </si>
  <si>
    <t>Mug</t>
  </si>
  <si>
    <t>SNR</t>
  </si>
  <si>
    <t>Cash</t>
  </si>
  <si>
    <t>Size: Large; Color: Pink</t>
  </si>
  <si>
    <t>Party Hat</t>
  </si>
  <si>
    <t>HBD Balloon</t>
  </si>
  <si>
    <t>HNY Balloon</t>
  </si>
  <si>
    <t>Loot Bags</t>
  </si>
  <si>
    <t>Hats</t>
  </si>
  <si>
    <t>Balloons</t>
  </si>
  <si>
    <t>Bags</t>
  </si>
  <si>
    <t>SNR-0001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</si>
</sst>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₱&quot;#,##0.00"/>
  </numFmts>
  <fonts count="9">
    <font>
      <sz val="11"/>
      <name val="Carlito"/>
    </font>
    <font>
      <b/>
      <sz val="17"/>
      <color rgb="FFFFFFFF"/>
      <name val="Carlito"/>
    </font>
    <font>
      <b/>
      <sz val="11"/>
      <color rgb="FF31174F"/>
      <name val="Carlito"/>
    </font>
    <font>
      <sz val="11"/>
      <color rgb="FF635A6B"/>
      <name val="Carlito"/>
    </font>
    <font>
      <b/>
      <sz val="11"/>
      <color rgb="FF6A4D85"/>
      <name val="Carlito"/>
    </font>
    <font>
      <b/>
      <sz val="11"/>
      <color rgb="FFFFFFFF"/>
      <name val="Carlito"/>
    </font>
    <font>
      <b/>
      <sz val="11"/>
      <color rgb="FF32204C"/>
      <name val="Carlito"/>
    </font>
    <font>
      <sz val="11"/>
      <color rgb="FF4B4260"/>
      <name val="Carlito"/>
    </font>
    <font>
      <b/>
      <sz val="11"/>
      <color rgb="FF4B426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31174F"/>
      </patternFill>
    </fill>
    <fill>
      <patternFill patternType="solid">
        <fgColor rgb="FFF3EAFB"/>
      </patternFill>
    </fill>
    <fill>
      <patternFill patternType="solid">
        <fgColor rgb="FF6A4D85"/>
      </patternFill>
    </fill>
    <fill>
      <patternFill patternType="solid">
        <fgColor rgb="FFFFFFFF"/>
      </patternFill>
    </fill>
    <fill>
      <patternFill patternType="solid">
        <fgColor rgb="FFE7F6ED"/>
      </patternFill>
    </fill>
    <fill>
      <patternFill patternType="solid">
        <fgColor rgb="FFEEE7F7"/>
      </patternFill>
    </fill>
    <fill>
      <patternFill patternType="solid">
        <fgColor rgb="FFFFFFFF"/>
      </patternFill>
    </fill>
    <fill>
      <patternFill patternType="solid">
        <fgColor rgb="FFFAF7F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5" fillId="4" borderId="0" xfId="0" applyFont="1" applyFill="1" applyAlignment="1">
      <alignment vertical="center" wrapText="1"/>
    </xf>
    <xf numFmtId="164" fontId="0" fillId="6" borderId="1" xfId="0" applyNumberForma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5" borderId="0" xfId="0" applyFill="1"/>
    <xf numFmtId="164" fontId="0" fillId="5" borderId="0" xfId="0" applyNumberFormat="1" applyFill="1"/>
    <xf numFmtId="2" fontId="0" fillId="5" borderId="0" xfId="0" applyNumberFormat="1" applyFill="1"/>
    <xf numFmtId="164" fontId="0" fillId="6" borderId="0" xfId="0" applyNumberFormat="1" applyFill="1"/>
    <xf numFmtId="0" fontId="0" fillId="8" borderId="1" xfId="0" applyFill="1" applyBorder="1" applyAlignment="1">
      <alignment vertical="center"/>
    </xf>
    <xf numFmtId="14" fontId="0" fillId="8" borderId="1" xfId="0" applyNumberFormat="1" applyFill="1" applyBorder="1" applyAlignment="1">
      <alignment vertical="center"/>
    </xf>
    <xf numFmtId="164" fontId="0" fillId="8" borderId="1" xfId="0" applyNumberFormat="1" applyFill="1" applyBorder="1" applyAlignment="1">
      <alignment vertical="center"/>
    </xf>
    <xf numFmtId="0" fontId="0" fillId="8" borderId="1" xfId="0" applyFill="1" applyBorder="1"/>
    <xf numFmtId="164" fontId="0" fillId="8" borderId="1" xfId="0" applyNumberFormat="1" applyFill="1" applyBorder="1"/>
    <xf numFmtId="2" fontId="0" fillId="8" borderId="1" xfId="0" applyNumberFormat="1" applyFill="1" applyBorder="1"/>
    <xf numFmtId="164" fontId="0" fillId="6" borderId="1" xfId="0" applyNumberFormat="1" applyFill="1" applyBorder="1"/>
    <xf numFmtId="0" fontId="0" fillId="5" borderId="1" xfId="0" applyFill="1" applyBorder="1"/>
    <xf numFmtId="164" fontId="0" fillId="5" borderId="1" xfId="0" applyNumberFormat="1" applyFill="1" applyBorder="1"/>
    <xf numFmtId="2" fontId="0" fillId="5" borderId="1" xfId="0" applyNumberFormat="1" applyFill="1" applyBorder="1"/>
    <xf numFmtId="0" fontId="1" fillId="2" borderId="0" xfId="0" applyFont="1" applyFill="1"/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8" fillId="9" borderId="0" xfId="0" applyFont="1" applyFill="1" applyAlignment="1">
      <alignment vertical="center" wrapText="1"/>
    </xf>
    <xf numFmtId="0" fontId="7" fillId="8" borderId="0" xfId="0" applyFont="1" applyFill="1" applyAlignment="1">
      <alignment vertical="center" wrapText="1"/>
    </xf>
    <xf numFmtId="0" fontId="7" fillId="9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0" fillId="8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opLeftCell="A2" zoomScale="76" workbookViewId="0">
      <selection activeCell="D43" sqref="D43"/>
    </sheetView>
  </sheetViews>
  <sheetFormatPr defaultRowHeight="13.8"/>
  <cols>
    <col min="1" max="2" width="18" customWidth="1"/>
    <col min="3" max="8" width="20" customWidth="1"/>
  </cols>
  <sheetData>
    <row r="1" spans="1:8" ht="21.6" customHeight="1">
      <c r="A1" s="19" t="s">
        <v>0</v>
      </c>
      <c r="B1" s="19"/>
      <c r="C1" s="19"/>
      <c r="D1" s="19"/>
      <c r="E1" s="19"/>
      <c r="F1" s="19"/>
      <c r="G1" s="19"/>
      <c r="H1" s="19"/>
    </row>
    <row r="2" spans="1:8" ht="21.6" customHeight="1">
      <c r="A2" s="19"/>
      <c r="B2" s="19"/>
      <c r="C2" s="19"/>
      <c r="D2" s="19"/>
      <c r="E2" s="19"/>
      <c r="F2" s="19"/>
      <c r="G2" s="19"/>
      <c r="H2" s="19"/>
    </row>
    <row r="4" spans="1:8" ht="34.35" customHeight="1">
      <c r="A4" s="20" t="s">
        <v>1</v>
      </c>
      <c r="B4" s="20"/>
      <c r="C4" s="21" t="s">
        <v>2</v>
      </c>
      <c r="D4" s="21"/>
      <c r="E4" s="21"/>
      <c r="F4" s="21"/>
      <c r="G4" s="21"/>
      <c r="H4" s="21"/>
    </row>
    <row r="5" spans="1:8" ht="34.35" customHeight="1">
      <c r="A5" s="20" t="s">
        <v>3</v>
      </c>
      <c r="B5" s="20"/>
      <c r="C5" s="21" t="s">
        <v>4</v>
      </c>
      <c r="D5" s="21"/>
      <c r="E5" s="21"/>
      <c r="F5" s="21"/>
      <c r="G5" s="21"/>
      <c r="H5" s="21"/>
    </row>
    <row r="6" spans="1:8" ht="34.35" customHeight="1">
      <c r="A6" s="20" t="s">
        <v>5</v>
      </c>
      <c r="B6" s="20"/>
      <c r="C6" s="21" t="s">
        <v>6</v>
      </c>
      <c r="D6" s="21"/>
      <c r="E6" s="21"/>
      <c r="F6" s="21"/>
      <c r="G6" s="21"/>
      <c r="H6" s="21"/>
    </row>
    <row r="7" spans="1:8" ht="34.35" customHeight="1">
      <c r="A7" s="20" t="s">
        <v>7</v>
      </c>
      <c r="B7" s="20"/>
      <c r="C7" s="21" t="s">
        <v>8</v>
      </c>
      <c r="D7" s="21"/>
      <c r="E7" s="21"/>
      <c r="F7" s="21"/>
      <c r="G7" s="21"/>
      <c r="H7" s="21"/>
    </row>
    <row r="8" spans="1:8" ht="34.35" customHeight="1">
      <c r="A8" s="20" t="s">
        <v>9</v>
      </c>
      <c r="B8" s="20"/>
      <c r="C8" s="21" t="s">
        <v>10</v>
      </c>
      <c r="D8" s="21"/>
      <c r="E8" s="21"/>
      <c r="F8" s="21"/>
      <c r="G8" s="21"/>
      <c r="H8" s="21"/>
    </row>
    <row r="9" spans="1:8" ht="34.35" customHeight="1">
      <c r="A9" s="20" t="s">
        <v>11</v>
      </c>
      <c r="B9" s="20"/>
      <c r="C9" s="21" t="s">
        <v>12</v>
      </c>
      <c r="D9" s="21"/>
      <c r="E9" s="21"/>
      <c r="F9" s="21"/>
      <c r="G9" s="21"/>
      <c r="H9" s="21"/>
    </row>
    <row r="10" spans="1:8" ht="34.35" customHeight="1">
      <c r="A10" s="20" t="s">
        <v>13</v>
      </c>
      <c r="B10" s="20"/>
      <c r="C10" s="21" t="s">
        <v>14</v>
      </c>
      <c r="D10" s="21"/>
      <c r="E10" s="21"/>
      <c r="F10" s="21"/>
      <c r="G10" s="21"/>
      <c r="H10" s="21"/>
    </row>
    <row r="11" spans="1:8" ht="34.35" customHeight="1">
      <c r="A11" s="20" t="s">
        <v>15</v>
      </c>
      <c r="B11" s="20"/>
      <c r="C11" s="21" t="s">
        <v>16</v>
      </c>
      <c r="D11" s="21"/>
      <c r="E11" s="21"/>
      <c r="F11" s="21"/>
      <c r="G11" s="21"/>
      <c r="H11" s="21"/>
    </row>
    <row r="12" spans="1:8" ht="34.35" customHeight="1">
      <c r="A12" s="20" t="s">
        <v>17</v>
      </c>
      <c r="B12" s="20"/>
      <c r="C12" s="21" t="s">
        <v>18</v>
      </c>
      <c r="D12" s="21"/>
      <c r="E12" s="21"/>
      <c r="F12" s="21"/>
      <c r="G12" s="21"/>
      <c r="H12" s="21"/>
    </row>
    <row r="13" spans="1:8" ht="34.35" customHeight="1">
      <c r="A13" s="22" t="s">
        <v>19</v>
      </c>
      <c r="B13" s="22"/>
      <c r="C13" s="24" t="s">
        <v>20</v>
      </c>
      <c r="D13" s="24"/>
      <c r="E13" s="24"/>
      <c r="F13" s="24"/>
      <c r="G13" s="24"/>
      <c r="H13" s="24"/>
    </row>
    <row r="14" spans="1:8" ht="34.35" customHeight="1">
      <c r="A14" s="22" t="s">
        <v>21</v>
      </c>
      <c r="B14" s="22"/>
      <c r="C14" s="23" t="s">
        <v>22</v>
      </c>
      <c r="D14" s="23"/>
      <c r="E14" s="23"/>
      <c r="F14" s="23"/>
      <c r="G14" s="23"/>
      <c r="H14" s="23"/>
    </row>
    <row r="15" spans="1:8" ht="34.35" customHeight="1">
      <c r="A15" s="22" t="s">
        <v>23</v>
      </c>
      <c r="B15" s="22"/>
      <c r="C15" s="24" t="s">
        <v>24</v>
      </c>
      <c r="D15" s="24"/>
      <c r="E15" s="24"/>
      <c r="F15" s="24"/>
      <c r="G15" s="24"/>
      <c r="H15" s="24"/>
    </row>
    <row r="16" spans="1:8" ht="34.35" customHeight="1">
      <c r="A16" s="22" t="s">
        <v>25</v>
      </c>
      <c r="B16" s="22"/>
      <c r="C16" s="25" t="s">
        <v>26</v>
      </c>
      <c r="D16" s="25"/>
      <c r="E16" s="25"/>
      <c r="F16" s="25"/>
      <c r="G16" s="25"/>
      <c r="H16" s="25"/>
    </row>
    <row r="17" spans="1:8" ht="34.35" customHeight="1">
      <c r="A17" s="22" t="s">
        <v>27</v>
      </c>
      <c r="B17" s="22"/>
      <c r="C17" s="24" t="s">
        <v>28</v>
      </c>
      <c r="D17" s="24"/>
      <c r="E17" s="24"/>
      <c r="F17" s="24"/>
      <c r="G17" s="24"/>
      <c r="H17" s="24"/>
    </row>
    <row r="18" spans="1:8" ht="34.35" customHeight="1">
      <c r="A18" s="22" t="s">
        <v>29</v>
      </c>
      <c r="B18" s="22"/>
      <c r="C18" s="25" t="s">
        <v>30</v>
      </c>
      <c r="D18" s="25"/>
      <c r="E18" s="25"/>
      <c r="F18" s="25"/>
      <c r="G18" s="25"/>
      <c r="H18" s="25"/>
    </row>
    <row r="19" spans="1:8" ht="43.95" customHeight="1">
      <c r="A19" s="22" t="s">
        <v>31</v>
      </c>
      <c r="B19" s="22"/>
      <c r="C19" s="24" t="s">
        <v>32</v>
      </c>
      <c r="D19" s="24"/>
      <c r="E19" s="24"/>
      <c r="F19" s="24"/>
      <c r="G19" s="24"/>
      <c r="H19" s="24"/>
    </row>
    <row r="20" spans="1:8" ht="43.95" customHeight="1">
      <c r="A20" s="22" t="s">
        <v>33</v>
      </c>
      <c r="B20" s="22"/>
      <c r="C20" s="25" t="s">
        <v>34</v>
      </c>
      <c r="D20" s="25"/>
      <c r="E20" s="25"/>
      <c r="F20" s="25"/>
      <c r="G20" s="25"/>
      <c r="H20" s="25"/>
    </row>
    <row r="21" spans="1:8" ht="43.95" customHeight="1">
      <c r="A21" s="22" t="s">
        <v>35</v>
      </c>
      <c r="B21" s="22"/>
      <c r="C21" s="24" t="s">
        <v>36</v>
      </c>
      <c r="D21" s="24"/>
      <c r="E21" s="24"/>
      <c r="F21" s="24"/>
      <c r="G21" s="24"/>
      <c r="H21" s="24"/>
    </row>
    <row r="22" spans="1:8" ht="34.35" customHeight="1">
      <c r="A22" s="22" t="s">
        <v>37</v>
      </c>
      <c r="B22" s="22"/>
      <c r="C22" s="25" t="s">
        <v>38</v>
      </c>
      <c r="D22" s="25"/>
      <c r="E22" s="25"/>
      <c r="F22" s="25"/>
      <c r="G22" s="25"/>
      <c r="H22" s="25"/>
    </row>
    <row r="23" spans="1:8" ht="34.35" customHeight="1">
      <c r="A23" s="22" t="s">
        <v>39</v>
      </c>
      <c r="B23" s="22"/>
      <c r="C23" s="24" t="s">
        <v>40</v>
      </c>
      <c r="D23" s="24"/>
      <c r="E23" s="24"/>
      <c r="F23" s="24"/>
      <c r="G23" s="24"/>
      <c r="H23" s="24"/>
    </row>
    <row r="24" spans="1:8" ht="34.35" customHeight="1">
      <c r="A24" s="22" t="s">
        <v>41</v>
      </c>
      <c r="B24" s="22"/>
      <c r="C24" s="25" t="s">
        <v>42</v>
      </c>
      <c r="D24" s="25"/>
      <c r="E24" s="25"/>
      <c r="F24" s="25"/>
      <c r="G24" s="25"/>
      <c r="H24" s="25"/>
    </row>
    <row r="25" spans="1:8" ht="34.35" customHeight="1">
      <c r="A25" s="22" t="s">
        <v>43</v>
      </c>
      <c r="B25" s="22"/>
      <c r="C25" s="24" t="s">
        <v>44</v>
      </c>
      <c r="D25" s="24"/>
      <c r="E25" s="24"/>
      <c r="F25" s="24"/>
      <c r="G25" s="24"/>
      <c r="H25" s="24"/>
    </row>
    <row r="26" spans="1:8" ht="34.35" customHeight="1">
      <c r="A26" s="22" t="s">
        <v>45</v>
      </c>
      <c r="B26" s="22"/>
      <c r="C26" s="25" t="s">
        <v>46</v>
      </c>
      <c r="D26" s="25"/>
      <c r="E26" s="25"/>
      <c r="F26" s="25"/>
      <c r="G26" s="25"/>
      <c r="H26" s="25"/>
    </row>
    <row r="27" spans="1:8" ht="34.35" customHeight="1">
      <c r="A27" s="22" t="s">
        <v>47</v>
      </c>
      <c r="B27" s="22"/>
      <c r="C27" s="24" t="s">
        <v>48</v>
      </c>
      <c r="D27" s="24"/>
      <c r="E27" s="24"/>
      <c r="F27" s="24"/>
      <c r="G27" s="24"/>
      <c r="H27" s="24"/>
    </row>
    <row r="28" spans="1:8" ht="34.35" customHeight="1">
      <c r="A28" s="22" t="s">
        <v>49</v>
      </c>
      <c r="B28" s="22"/>
      <c r="C28" s="25" t="s">
        <v>50</v>
      </c>
      <c r="D28" s="25"/>
      <c r="E28" s="25"/>
      <c r="F28" s="25"/>
      <c r="G28" s="25"/>
      <c r="H28" s="25"/>
    </row>
    <row r="29" spans="1:8" ht="34.35" customHeight="1">
      <c r="A29" s="22" t="s">
        <v>51</v>
      </c>
      <c r="B29" s="22"/>
      <c r="C29" s="24" t="s">
        <v>52</v>
      </c>
      <c r="D29" s="24"/>
      <c r="E29" s="24"/>
      <c r="F29" s="24"/>
      <c r="G29" s="24"/>
      <c r="H29" s="24"/>
    </row>
    <row r="30" spans="1:8" ht="34.35" customHeight="1">
      <c r="A30" s="22" t="s">
        <v>53</v>
      </c>
      <c r="B30" s="22"/>
      <c r="C30" s="25" t="s">
        <v>54</v>
      </c>
      <c r="D30" s="25"/>
      <c r="E30" s="25"/>
      <c r="F30" s="25"/>
      <c r="G30" s="25"/>
      <c r="H30" s="25"/>
    </row>
    <row r="31" spans="1:8" ht="34.35" customHeight="1">
      <c r="A31" s="22" t="s">
        <v>55</v>
      </c>
      <c r="B31" s="22"/>
      <c r="C31" s="24" t="s">
        <v>56</v>
      </c>
      <c r="D31" s="24"/>
      <c r="E31" s="24"/>
      <c r="F31" s="24"/>
      <c r="G31" s="24"/>
      <c r="H31" s="24"/>
    </row>
    <row r="32" spans="1:8" ht="43.95" customHeight="1">
      <c r="A32" s="22" t="s">
        <v>57</v>
      </c>
      <c r="B32" s="22"/>
      <c r="C32" s="25" t="s">
        <v>58</v>
      </c>
      <c r="D32" s="25"/>
      <c r="E32" s="25"/>
      <c r="F32" s="25"/>
      <c r="G32" s="25"/>
      <c r="H32" s="25"/>
    </row>
    <row r="33" spans="1:8" ht="34.35" customHeight="1">
      <c r="A33" s="22" t="s">
        <v>59</v>
      </c>
      <c r="B33" s="22"/>
      <c r="C33" s="24" t="s">
        <v>60</v>
      </c>
      <c r="D33" s="24"/>
      <c r="E33" s="24"/>
      <c r="F33" s="24"/>
      <c r="G33" s="24"/>
      <c r="H33" s="24"/>
    </row>
    <row r="34" spans="1:8" ht="34.35" customHeight="1">
      <c r="A34" s="22" t="s">
        <v>61</v>
      </c>
      <c r="B34" s="22"/>
      <c r="C34" s="25" t="s">
        <v>62</v>
      </c>
      <c r="D34" s="25"/>
      <c r="E34" s="25"/>
      <c r="F34" s="25"/>
      <c r="G34" s="25"/>
      <c r="H34" s="25"/>
    </row>
    <row r="35" spans="1:8" ht="34.35" customHeight="1">
      <c r="A35" s="22" t="s">
        <v>63</v>
      </c>
      <c r="B35" s="22"/>
      <c r="C35" s="24" t="s">
        <v>64</v>
      </c>
      <c r="D35" s="24"/>
      <c r="E35" s="24"/>
      <c r="F35" s="24"/>
      <c r="G35" s="24"/>
      <c r="H35" s="24"/>
    </row>
    <row r="36" spans="1:8" ht="34.35" customHeight="1">
      <c r="A36" s="22" t="s">
        <v>65</v>
      </c>
      <c r="B36" s="22"/>
      <c r="C36" s="25" t="s">
        <v>66</v>
      </c>
      <c r="D36" s="25"/>
      <c r="E36" s="25"/>
      <c r="F36" s="25"/>
      <c r="G36" s="25"/>
      <c r="H36" s="25"/>
    </row>
    <row r="37" spans="1:8" ht="34.35" customHeight="1">
      <c r="A37" s="22" t="s">
        <v>67</v>
      </c>
      <c r="B37" s="22"/>
      <c r="C37" s="24" t="s">
        <v>68</v>
      </c>
      <c r="D37" s="24"/>
      <c r="E37" s="24"/>
      <c r="F37" s="24"/>
      <c r="G37" s="24"/>
      <c r="H37" s="24"/>
    </row>
  </sheetData>
  <mergeCells count="68">
    <mergeCell ref="A36:B36"/>
    <mergeCell ref="C36:H36"/>
    <mergeCell ref="A37:B37"/>
    <mergeCell ref="C37:H37"/>
    <mergeCell ref="A33:B33"/>
    <mergeCell ref="C33:H33"/>
    <mergeCell ref="A34:B34"/>
    <mergeCell ref="C34:H34"/>
    <mergeCell ref="A35:B35"/>
    <mergeCell ref="C35:H35"/>
    <mergeCell ref="A30:B30"/>
    <mergeCell ref="C30:H30"/>
    <mergeCell ref="A31:B31"/>
    <mergeCell ref="C31:H31"/>
    <mergeCell ref="A32:B32"/>
    <mergeCell ref="C32:H32"/>
    <mergeCell ref="A27:B27"/>
    <mergeCell ref="C27:H27"/>
    <mergeCell ref="A28:B28"/>
    <mergeCell ref="C28:H28"/>
    <mergeCell ref="A29:B29"/>
    <mergeCell ref="C29:H29"/>
    <mergeCell ref="A24:B24"/>
    <mergeCell ref="C24:H24"/>
    <mergeCell ref="A25:B25"/>
    <mergeCell ref="C25:H25"/>
    <mergeCell ref="A26:B26"/>
    <mergeCell ref="C26:H26"/>
    <mergeCell ref="A21:B21"/>
    <mergeCell ref="C21:H21"/>
    <mergeCell ref="A22:B22"/>
    <mergeCell ref="C22:H22"/>
    <mergeCell ref="A23:B23"/>
    <mergeCell ref="C23:H23"/>
    <mergeCell ref="A18:B18"/>
    <mergeCell ref="C18:H18"/>
    <mergeCell ref="A19:B19"/>
    <mergeCell ref="C19:H19"/>
    <mergeCell ref="A20:B20"/>
    <mergeCell ref="C20:H20"/>
    <mergeCell ref="A15:B15"/>
    <mergeCell ref="C15:H15"/>
    <mergeCell ref="A16:B16"/>
    <mergeCell ref="C16:H16"/>
    <mergeCell ref="A17:B17"/>
    <mergeCell ref="C17:H17"/>
    <mergeCell ref="A12:B12"/>
    <mergeCell ref="C12:H12"/>
    <mergeCell ref="A14:H14"/>
    <mergeCell ref="A13:B13"/>
    <mergeCell ref="C13:H13"/>
    <mergeCell ref="A9:B9"/>
    <mergeCell ref="C9:H9"/>
    <mergeCell ref="A10:B10"/>
    <mergeCell ref="C10:H10"/>
    <mergeCell ref="A11:B11"/>
    <mergeCell ref="C11:H11"/>
    <mergeCell ref="A6:B6"/>
    <mergeCell ref="C6:H6"/>
    <mergeCell ref="A7:B7"/>
    <mergeCell ref="C7:H7"/>
    <mergeCell ref="A8:B8"/>
    <mergeCell ref="C8:H8"/>
    <mergeCell ref="A1:H2"/>
    <mergeCell ref="A4:B4"/>
    <mergeCell ref="C4:H4"/>
    <mergeCell ref="A5:B5"/>
    <mergeCell ref="C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6"/>
  <sheetViews>
    <sheetView tabSelected="1" topLeftCell="E1" zoomScale="98" workbookViewId="0">
      <pane ySplit="6" topLeftCell="A11" activePane="bottomLeft" state="frozen"/>
      <selection pane="bottomLeft" activeCell="H17" sqref="H17"/>
    </sheetView>
  </sheetViews>
  <sheetFormatPr defaultRowHeight="13.8"/>
  <cols>
    <col min="1" max="2" width="22" customWidth="1"/>
    <col min="3" max="3" width="14" customWidth="1"/>
    <col min="4" max="4" width="33" customWidth="1"/>
    <col min="5" max="5" width="13" customWidth="1"/>
    <col min="6" max="6" width="17" customWidth="1"/>
    <col min="7" max="8" width="18" customWidth="1"/>
    <col min="9" max="9" width="15" customWidth="1"/>
    <col min="10" max="10" width="24" customWidth="1"/>
    <col min="11" max="11" width="21" customWidth="1"/>
    <col min="12" max="12" width="20" customWidth="1"/>
    <col min="13" max="13" width="22" customWidth="1"/>
  </cols>
  <sheetData>
    <row r="1" spans="1:13" ht="28.05" customHeight="1">
      <c r="A1" s="26" t="s">
        <v>69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8.05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37.799999999999997" customHeight="1">
      <c r="A4" s="27" t="s">
        <v>70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</row>
    <row r="5" spans="1:13" ht="46.2" customHeight="1">
      <c r="A5" s="1" t="s">
        <v>71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34.950000000000003" customHeight="1">
      <c r="A6" s="2" t="s">
        <v>72</v>
      </c>
      <c r="B6" s="2" t="s">
        <v>73</v>
      </c>
      <c r="C6" s="2" t="s">
        <v>74</v>
      </c>
      <c r="D6" s="2" t="s">
        <v>75</v>
      </c>
      <c r="E6" s="2" t="s">
        <v>76</v>
      </c>
      <c r="F6" s="2" t="s">
        <v>77</v>
      </c>
      <c r="G6" s="2" t="s">
        <v>78</v>
      </c>
      <c r="H6" s="2" t="s">
        <v>79</v>
      </c>
      <c r="I6" s="2" t="s">
        <v>80</v>
      </c>
      <c r="J6" s="2" t="s">
        <v>81</v>
      </c>
      <c r="K6" s="2" t="s">
        <v>82</v>
      </c>
      <c r="L6" s="2" t="s">
        <v>83</v>
      </c>
      <c r="M6" s="2" t="s">
        <v>84</v>
      </c>
    </row>
    <row r="7" spans="1:13" ht="21" customHeight="1">
      <c r="A7" s="12" t="s">
        <v>108</v>
      </c>
      <c r="B7" s="12" t="s">
        <v>97</v>
      </c>
      <c r="C7" s="12" t="s">
        <v>98</v>
      </c>
      <c r="D7" s="12" t="s">
        <v>99</v>
      </c>
      <c r="E7" s="12">
        <v>20</v>
      </c>
      <c r="F7" s="12">
        <v>5</v>
      </c>
      <c r="G7" s="13">
        <v>45</v>
      </c>
      <c r="H7" s="12" t="s">
        <v>100</v>
      </c>
      <c r="I7" s="14">
        <v>30</v>
      </c>
      <c r="J7" s="13"/>
      <c r="K7" s="15">
        <f t="shared" ref="K7:K38" si="0">IF(A7="","",IF(H7="Markup",ROUND(G7*(1+I7/100),2),J7))</f>
        <v>58.5</v>
      </c>
      <c r="L7" s="16"/>
      <c r="M7" s="15">
        <f t="shared" ref="M7:M38" si="1">IF(A7="","",E7*G7)</f>
        <v>900</v>
      </c>
    </row>
    <row r="8" spans="1:13" ht="21" customHeight="1">
      <c r="A8" s="12" t="s">
        <v>108</v>
      </c>
      <c r="B8" s="12" t="s">
        <v>97</v>
      </c>
      <c r="C8" s="12" t="s">
        <v>98</v>
      </c>
      <c r="D8" s="12" t="s">
        <v>101</v>
      </c>
      <c r="E8" s="12">
        <v>20</v>
      </c>
      <c r="F8" s="12">
        <v>5</v>
      </c>
      <c r="G8" s="13">
        <v>45</v>
      </c>
      <c r="H8" s="12" t="s">
        <v>100</v>
      </c>
      <c r="I8" s="14">
        <v>30</v>
      </c>
      <c r="J8" s="13"/>
      <c r="K8" s="15">
        <f t="shared" si="0"/>
        <v>58.5</v>
      </c>
      <c r="L8" s="16"/>
      <c r="M8" s="15">
        <f t="shared" si="1"/>
        <v>900</v>
      </c>
    </row>
    <row r="9" spans="1:13" ht="21" customHeight="1">
      <c r="A9" s="12" t="s">
        <v>108</v>
      </c>
      <c r="B9" s="12" t="s">
        <v>97</v>
      </c>
      <c r="C9" s="12" t="s">
        <v>98</v>
      </c>
      <c r="D9" s="12" t="s">
        <v>102</v>
      </c>
      <c r="E9" s="12">
        <v>20</v>
      </c>
      <c r="F9" s="12">
        <v>5</v>
      </c>
      <c r="G9" s="13">
        <v>45</v>
      </c>
      <c r="H9" s="12" t="s">
        <v>100</v>
      </c>
      <c r="I9" s="14">
        <v>30</v>
      </c>
      <c r="J9" s="13"/>
      <c r="K9" s="15">
        <f t="shared" si="0"/>
        <v>58.5</v>
      </c>
      <c r="L9" s="16"/>
      <c r="M9" s="15">
        <f t="shared" si="1"/>
        <v>900</v>
      </c>
    </row>
    <row r="10" spans="1:13" ht="21" customHeight="1">
      <c r="A10" s="12" t="s">
        <v>108</v>
      </c>
      <c r="B10" s="12" t="s">
        <v>97</v>
      </c>
      <c r="C10" s="12" t="s">
        <v>98</v>
      </c>
      <c r="D10" s="12" t="s">
        <v>111</v>
      </c>
      <c r="E10" s="12">
        <v>20</v>
      </c>
      <c r="F10" s="12">
        <v>5</v>
      </c>
      <c r="G10" s="13">
        <v>45</v>
      </c>
      <c r="H10" s="12" t="s">
        <v>100</v>
      </c>
      <c r="I10" s="14">
        <v>30</v>
      </c>
      <c r="J10" s="13"/>
      <c r="K10" s="15">
        <f t="shared" si="0"/>
        <v>58.5</v>
      </c>
      <c r="L10" s="16"/>
      <c r="M10" s="15">
        <f t="shared" si="1"/>
        <v>900</v>
      </c>
    </row>
    <row r="11" spans="1:13" ht="21" customHeight="1">
      <c r="A11" s="12" t="s">
        <v>107</v>
      </c>
      <c r="B11" s="12" t="s">
        <v>103</v>
      </c>
      <c r="C11" s="12" t="s">
        <v>104</v>
      </c>
      <c r="D11" s="12"/>
      <c r="E11" s="12">
        <v>15</v>
      </c>
      <c r="F11" s="12">
        <v>2</v>
      </c>
      <c r="G11" s="13">
        <v>600</v>
      </c>
      <c r="H11" s="12" t="s">
        <v>105</v>
      </c>
      <c r="I11" s="14"/>
      <c r="J11" s="13">
        <v>1000</v>
      </c>
      <c r="K11" s="15">
        <f t="shared" si="0"/>
        <v>1000</v>
      </c>
      <c r="L11" s="16"/>
      <c r="M11" s="15">
        <f t="shared" si="1"/>
        <v>9000</v>
      </c>
    </row>
    <row r="12" spans="1:13" ht="21" customHeight="1">
      <c r="A12" s="16" t="s">
        <v>112</v>
      </c>
      <c r="B12" s="16" t="s">
        <v>116</v>
      </c>
      <c r="C12" s="16" t="s">
        <v>104</v>
      </c>
      <c r="D12" s="16"/>
      <c r="E12" s="16">
        <v>20</v>
      </c>
      <c r="F12" s="16">
        <v>5</v>
      </c>
      <c r="G12" s="17">
        <v>25</v>
      </c>
      <c r="H12" s="16" t="s">
        <v>100</v>
      </c>
      <c r="I12" s="18">
        <v>20</v>
      </c>
      <c r="J12" s="17"/>
      <c r="K12" s="15">
        <f t="shared" si="0"/>
        <v>30</v>
      </c>
      <c r="L12" s="16"/>
      <c r="M12" s="15">
        <f t="shared" si="1"/>
        <v>500</v>
      </c>
    </row>
    <row r="13" spans="1:13" ht="21" customHeight="1">
      <c r="A13" s="16" t="s">
        <v>113</v>
      </c>
      <c r="B13" s="12" t="s">
        <v>117</v>
      </c>
      <c r="C13" s="16" t="s">
        <v>104</v>
      </c>
      <c r="D13" s="16"/>
      <c r="E13" s="16">
        <v>30</v>
      </c>
      <c r="F13" s="16">
        <v>5</v>
      </c>
      <c r="G13" s="17">
        <v>60</v>
      </c>
      <c r="H13" s="16" t="s">
        <v>100</v>
      </c>
      <c r="I13" s="18">
        <v>30</v>
      </c>
      <c r="J13" s="17"/>
      <c r="K13" s="15">
        <f t="shared" si="0"/>
        <v>78</v>
      </c>
      <c r="L13" s="16"/>
      <c r="M13" s="15">
        <f t="shared" si="1"/>
        <v>1800</v>
      </c>
    </row>
    <row r="14" spans="1:13" ht="21" customHeight="1">
      <c r="A14" s="16" t="s">
        <v>114</v>
      </c>
      <c r="B14" s="12" t="s">
        <v>117</v>
      </c>
      <c r="C14" s="16" t="s">
        <v>104</v>
      </c>
      <c r="D14" s="16"/>
      <c r="E14" s="16">
        <v>30</v>
      </c>
      <c r="F14" s="16">
        <v>5</v>
      </c>
      <c r="G14" s="17">
        <v>60</v>
      </c>
      <c r="H14" s="16" t="s">
        <v>100</v>
      </c>
      <c r="I14" s="18">
        <v>30</v>
      </c>
      <c r="J14" s="17"/>
      <c r="K14" s="15">
        <f t="shared" si="0"/>
        <v>78</v>
      </c>
      <c r="L14" s="16"/>
      <c r="M14" s="15">
        <f t="shared" si="1"/>
        <v>1800</v>
      </c>
    </row>
    <row r="15" spans="1:13" ht="21" customHeight="1">
      <c r="A15" s="16" t="s">
        <v>115</v>
      </c>
      <c r="B15" s="12" t="s">
        <v>118</v>
      </c>
      <c r="C15" s="16" t="s">
        <v>98</v>
      </c>
      <c r="D15" s="12" t="s">
        <v>111</v>
      </c>
      <c r="E15" s="16">
        <v>50</v>
      </c>
      <c r="F15" s="16">
        <v>10</v>
      </c>
      <c r="G15" s="17">
        <v>15</v>
      </c>
      <c r="H15" s="16" t="s">
        <v>100</v>
      </c>
      <c r="I15" s="18">
        <v>20</v>
      </c>
      <c r="J15" s="17"/>
      <c r="K15" s="15">
        <f t="shared" si="0"/>
        <v>18</v>
      </c>
      <c r="L15" s="16"/>
      <c r="M15" s="15">
        <f t="shared" si="1"/>
        <v>750</v>
      </c>
    </row>
    <row r="16" spans="1:13" ht="21" customHeight="1">
      <c r="A16" s="16" t="s">
        <v>115</v>
      </c>
      <c r="B16" s="12" t="s">
        <v>118</v>
      </c>
      <c r="C16" s="16" t="s">
        <v>98</v>
      </c>
      <c r="D16" s="12" t="s">
        <v>101</v>
      </c>
      <c r="E16" s="16">
        <v>50</v>
      </c>
      <c r="F16" s="16">
        <v>10</v>
      </c>
      <c r="G16" s="17">
        <v>15</v>
      </c>
      <c r="H16" s="16" t="s">
        <v>100</v>
      </c>
      <c r="I16" s="18">
        <v>20</v>
      </c>
      <c r="J16" s="17"/>
      <c r="K16" s="15">
        <f t="shared" si="0"/>
        <v>18</v>
      </c>
      <c r="L16" s="16"/>
      <c r="M16" s="15">
        <f t="shared" si="1"/>
        <v>750</v>
      </c>
    </row>
    <row r="17" spans="1:13" ht="21" customHeight="1">
      <c r="A17" s="16"/>
      <c r="B17" s="12"/>
      <c r="C17" s="16"/>
      <c r="D17" s="16"/>
      <c r="E17" s="16"/>
      <c r="F17" s="16"/>
      <c r="G17" s="17"/>
      <c r="H17" s="16"/>
      <c r="I17" s="18"/>
      <c r="J17" s="17"/>
      <c r="K17" s="15" t="str">
        <f t="shared" si="0"/>
        <v/>
      </c>
      <c r="L17" s="16"/>
      <c r="M17" s="15" t="str">
        <f t="shared" si="1"/>
        <v/>
      </c>
    </row>
    <row r="18" spans="1:13" ht="21" customHeight="1">
      <c r="A18" s="16"/>
      <c r="B18" s="12"/>
      <c r="C18" s="16"/>
      <c r="D18" s="16"/>
      <c r="E18" s="16"/>
      <c r="F18" s="16"/>
      <c r="G18" s="17"/>
      <c r="H18" s="16"/>
      <c r="I18" s="18"/>
      <c r="J18" s="17"/>
      <c r="K18" s="15" t="str">
        <f t="shared" si="0"/>
        <v/>
      </c>
      <c r="L18" s="16"/>
      <c r="M18" s="15" t="str">
        <f t="shared" si="1"/>
        <v/>
      </c>
    </row>
    <row r="19" spans="1:13" ht="21" customHeight="1">
      <c r="A19" s="16"/>
      <c r="B19" s="12"/>
      <c r="C19" s="16"/>
      <c r="D19" s="16"/>
      <c r="E19" s="16"/>
      <c r="F19" s="16"/>
      <c r="G19" s="17"/>
      <c r="H19" s="16"/>
      <c r="I19" s="18"/>
      <c r="J19" s="17"/>
      <c r="K19" s="15" t="str">
        <f t="shared" si="0"/>
        <v/>
      </c>
      <c r="L19" s="16"/>
      <c r="M19" s="15" t="str">
        <f t="shared" si="1"/>
        <v/>
      </c>
    </row>
    <row r="20" spans="1:13" ht="21" customHeight="1">
      <c r="A20" s="16"/>
      <c r="B20" s="12"/>
      <c r="C20" s="16"/>
      <c r="D20" s="16"/>
      <c r="E20" s="16"/>
      <c r="F20" s="16"/>
      <c r="G20" s="17"/>
      <c r="H20" s="16"/>
      <c r="I20" s="18"/>
      <c r="J20" s="17"/>
      <c r="K20" s="15" t="str">
        <f t="shared" si="0"/>
        <v/>
      </c>
      <c r="L20" s="16"/>
      <c r="M20" s="15" t="str">
        <f t="shared" si="1"/>
        <v/>
      </c>
    </row>
    <row r="21" spans="1:13" ht="21" customHeight="1">
      <c r="A21" s="16"/>
      <c r="B21" s="12"/>
      <c r="C21" s="16"/>
      <c r="D21" s="16"/>
      <c r="E21" s="16"/>
      <c r="F21" s="16"/>
      <c r="G21" s="17"/>
      <c r="H21" s="16"/>
      <c r="I21" s="18"/>
      <c r="J21" s="17"/>
      <c r="K21" s="15" t="str">
        <f t="shared" si="0"/>
        <v/>
      </c>
      <c r="L21" s="16"/>
      <c r="M21" s="15" t="str">
        <f t="shared" si="1"/>
        <v/>
      </c>
    </row>
    <row r="22" spans="1:13" ht="21" customHeight="1">
      <c r="A22" s="16"/>
      <c r="B22" s="12"/>
      <c r="C22" s="16"/>
      <c r="D22" s="16"/>
      <c r="E22" s="16"/>
      <c r="F22" s="16"/>
      <c r="G22" s="17"/>
      <c r="H22" s="16"/>
      <c r="I22" s="18"/>
      <c r="J22" s="17"/>
      <c r="K22" s="15" t="str">
        <f t="shared" si="0"/>
        <v/>
      </c>
      <c r="L22" s="16"/>
      <c r="M22" s="15" t="str">
        <f t="shared" si="1"/>
        <v/>
      </c>
    </row>
    <row r="23" spans="1:13" ht="21" customHeight="1">
      <c r="A23" s="16"/>
      <c r="B23" s="12"/>
      <c r="C23" s="16"/>
      <c r="D23" s="16"/>
      <c r="E23" s="16"/>
      <c r="F23" s="16"/>
      <c r="G23" s="17"/>
      <c r="H23" s="16"/>
      <c r="I23" s="18"/>
      <c r="J23" s="17"/>
      <c r="K23" s="15" t="str">
        <f t="shared" si="0"/>
        <v/>
      </c>
      <c r="L23" s="16"/>
      <c r="M23" s="15" t="str">
        <f t="shared" si="1"/>
        <v/>
      </c>
    </row>
    <row r="24" spans="1:13" ht="21" customHeight="1">
      <c r="A24" s="16"/>
      <c r="B24" s="12"/>
      <c r="C24" s="16"/>
      <c r="D24" s="16"/>
      <c r="E24" s="16"/>
      <c r="F24" s="16"/>
      <c r="G24" s="17"/>
      <c r="H24" s="16"/>
      <c r="I24" s="18"/>
      <c r="J24" s="17"/>
      <c r="K24" s="15" t="str">
        <f t="shared" si="0"/>
        <v/>
      </c>
      <c r="L24" s="16"/>
      <c r="M24" s="15" t="str">
        <f t="shared" si="1"/>
        <v/>
      </c>
    </row>
    <row r="25" spans="1:13" ht="21" customHeight="1">
      <c r="A25" s="16"/>
      <c r="B25" s="12"/>
      <c r="C25" s="16"/>
      <c r="D25" s="16"/>
      <c r="E25" s="16"/>
      <c r="F25" s="16"/>
      <c r="G25" s="17"/>
      <c r="H25" s="16"/>
      <c r="I25" s="18"/>
      <c r="J25" s="17"/>
      <c r="K25" s="15" t="str">
        <f t="shared" si="0"/>
        <v/>
      </c>
      <c r="L25" s="16"/>
      <c r="M25" s="15" t="str">
        <f t="shared" si="1"/>
        <v/>
      </c>
    </row>
    <row r="26" spans="1:13" ht="21" customHeight="1">
      <c r="A26" s="16"/>
      <c r="B26" s="12"/>
      <c r="C26" s="16"/>
      <c r="D26" s="16"/>
      <c r="E26" s="16"/>
      <c r="F26" s="16"/>
      <c r="G26" s="17"/>
      <c r="H26" s="16"/>
      <c r="I26" s="18"/>
      <c r="J26" s="17"/>
      <c r="K26" s="15" t="str">
        <f t="shared" si="0"/>
        <v/>
      </c>
      <c r="L26" s="16"/>
      <c r="M26" s="15" t="str">
        <f t="shared" si="1"/>
        <v/>
      </c>
    </row>
    <row r="27" spans="1:13" ht="21" customHeight="1">
      <c r="A27" s="16"/>
      <c r="B27" s="12"/>
      <c r="C27" s="16"/>
      <c r="D27" s="16"/>
      <c r="E27" s="16"/>
      <c r="F27" s="16"/>
      <c r="G27" s="17"/>
      <c r="H27" s="16"/>
      <c r="I27" s="18"/>
      <c r="J27" s="17"/>
      <c r="K27" s="15" t="str">
        <f t="shared" si="0"/>
        <v/>
      </c>
      <c r="L27" s="16"/>
      <c r="M27" s="15" t="str">
        <f t="shared" si="1"/>
        <v/>
      </c>
    </row>
    <row r="28" spans="1:13" ht="21" customHeight="1">
      <c r="A28" s="16"/>
      <c r="B28" s="12"/>
      <c r="C28" s="16"/>
      <c r="D28" s="16"/>
      <c r="E28" s="16"/>
      <c r="F28" s="16"/>
      <c r="G28" s="17"/>
      <c r="H28" s="16"/>
      <c r="I28" s="18"/>
      <c r="J28" s="17"/>
      <c r="K28" s="15" t="str">
        <f t="shared" si="0"/>
        <v/>
      </c>
      <c r="L28" s="16"/>
      <c r="M28" s="15" t="str">
        <f t="shared" si="1"/>
        <v/>
      </c>
    </row>
    <row r="29" spans="1:13" ht="21" customHeight="1">
      <c r="A29" s="16"/>
      <c r="B29" s="12"/>
      <c r="C29" s="16"/>
      <c r="D29" s="16"/>
      <c r="E29" s="16"/>
      <c r="F29" s="16"/>
      <c r="G29" s="17"/>
      <c r="H29" s="16"/>
      <c r="I29" s="18"/>
      <c r="J29" s="17"/>
      <c r="K29" s="15" t="str">
        <f t="shared" si="0"/>
        <v/>
      </c>
      <c r="L29" s="16"/>
      <c r="M29" s="15" t="str">
        <f t="shared" si="1"/>
        <v/>
      </c>
    </row>
    <row r="30" spans="1:13" ht="21" customHeight="1">
      <c r="A30" s="16"/>
      <c r="B30" s="12"/>
      <c r="C30" s="16"/>
      <c r="D30" s="16"/>
      <c r="E30" s="16"/>
      <c r="F30" s="16"/>
      <c r="G30" s="17"/>
      <c r="H30" s="16"/>
      <c r="I30" s="18"/>
      <c r="J30" s="17"/>
      <c r="K30" s="15" t="str">
        <f t="shared" si="0"/>
        <v/>
      </c>
      <c r="L30" s="16"/>
      <c r="M30" s="15" t="str">
        <f t="shared" si="1"/>
        <v/>
      </c>
    </row>
    <row r="31" spans="1:13" ht="21" customHeight="1">
      <c r="A31" s="16"/>
      <c r="B31" s="12"/>
      <c r="C31" s="16"/>
      <c r="D31" s="16"/>
      <c r="E31" s="16"/>
      <c r="F31" s="16"/>
      <c r="G31" s="17"/>
      <c r="H31" s="16"/>
      <c r="I31" s="18"/>
      <c r="J31" s="17"/>
      <c r="K31" s="15" t="str">
        <f t="shared" si="0"/>
        <v/>
      </c>
      <c r="L31" s="16"/>
      <c r="M31" s="15" t="str">
        <f t="shared" si="1"/>
        <v/>
      </c>
    </row>
    <row r="32" spans="1:13" ht="21" customHeight="1">
      <c r="A32" s="16"/>
      <c r="B32" s="12"/>
      <c r="C32" s="16"/>
      <c r="D32" s="16"/>
      <c r="E32" s="16"/>
      <c r="F32" s="16"/>
      <c r="G32" s="17"/>
      <c r="H32" s="16"/>
      <c r="I32" s="18"/>
      <c r="J32" s="17"/>
      <c r="K32" s="15" t="str">
        <f t="shared" si="0"/>
        <v/>
      </c>
      <c r="L32" s="16"/>
      <c r="M32" s="15" t="str">
        <f t="shared" si="1"/>
        <v/>
      </c>
    </row>
    <row r="33" spans="1:13" ht="21" customHeight="1">
      <c r="A33" s="16"/>
      <c r="B33" s="12"/>
      <c r="C33" s="16"/>
      <c r="D33" s="16"/>
      <c r="E33" s="16"/>
      <c r="F33" s="16"/>
      <c r="G33" s="17"/>
      <c r="H33" s="16"/>
      <c r="I33" s="18"/>
      <c r="J33" s="17"/>
      <c r="K33" s="15" t="str">
        <f t="shared" si="0"/>
        <v/>
      </c>
      <c r="L33" s="16"/>
      <c r="M33" s="15" t="str">
        <f t="shared" si="1"/>
        <v/>
      </c>
    </row>
    <row r="34" spans="1:13" ht="21" customHeight="1">
      <c r="A34" s="16"/>
      <c r="B34" s="12"/>
      <c r="C34" s="16"/>
      <c r="D34" s="16"/>
      <c r="E34" s="16"/>
      <c r="F34" s="16"/>
      <c r="G34" s="17"/>
      <c r="H34" s="16"/>
      <c r="I34" s="18"/>
      <c r="J34" s="17"/>
      <c r="K34" s="15" t="str">
        <f t="shared" si="0"/>
        <v/>
      </c>
      <c r="L34" s="16"/>
      <c r="M34" s="15" t="str">
        <f t="shared" si="1"/>
        <v/>
      </c>
    </row>
    <row r="35" spans="1:13" ht="21" customHeight="1">
      <c r="A35" s="16"/>
      <c r="B35" s="12"/>
      <c r="C35" s="16"/>
      <c r="D35" s="16"/>
      <c r="E35" s="16"/>
      <c r="F35" s="16"/>
      <c r="G35" s="17"/>
      <c r="H35" s="16"/>
      <c r="I35" s="18"/>
      <c r="J35" s="17"/>
      <c r="K35" s="15" t="str">
        <f t="shared" si="0"/>
        <v/>
      </c>
      <c r="L35" s="16"/>
      <c r="M35" s="15" t="str">
        <f t="shared" si="1"/>
        <v/>
      </c>
    </row>
    <row r="36" spans="1:13" ht="21" customHeight="1">
      <c r="A36" s="16"/>
      <c r="B36" s="12"/>
      <c r="C36" s="16"/>
      <c r="D36" s="16"/>
      <c r="E36" s="16"/>
      <c r="F36" s="16"/>
      <c r="G36" s="17"/>
      <c r="H36" s="16"/>
      <c r="I36" s="18"/>
      <c r="J36" s="17"/>
      <c r="K36" s="15" t="str">
        <f t="shared" si="0"/>
        <v/>
      </c>
      <c r="L36" s="16"/>
      <c r="M36" s="15" t="str">
        <f t="shared" si="1"/>
        <v/>
      </c>
    </row>
    <row r="37" spans="1:13" ht="21" customHeight="1">
      <c r="A37" s="16"/>
      <c r="B37" s="12"/>
      <c r="C37" s="16"/>
      <c r="D37" s="16"/>
      <c r="E37" s="16"/>
      <c r="F37" s="16"/>
      <c r="G37" s="17"/>
      <c r="H37" s="16"/>
      <c r="I37" s="18"/>
      <c r="J37" s="17"/>
      <c r="K37" s="15" t="str">
        <f t="shared" si="0"/>
        <v/>
      </c>
      <c r="L37" s="16"/>
      <c r="M37" s="15" t="str">
        <f t="shared" si="1"/>
        <v/>
      </c>
    </row>
    <row r="38" spans="1:13" ht="21" customHeight="1">
      <c r="A38" s="16"/>
      <c r="B38" s="12"/>
      <c r="C38" s="16"/>
      <c r="D38" s="16"/>
      <c r="E38" s="16"/>
      <c r="F38" s="16"/>
      <c r="G38" s="17"/>
      <c r="H38" s="16"/>
      <c r="I38" s="18"/>
      <c r="J38" s="17"/>
      <c r="K38" s="15" t="str">
        <f t="shared" si="0"/>
        <v/>
      </c>
      <c r="L38" s="16"/>
      <c r="M38" s="15" t="str">
        <f t="shared" si="1"/>
        <v/>
      </c>
    </row>
    <row r="39" spans="1:13" ht="21" customHeight="1">
      <c r="A39" s="16"/>
      <c r="B39" s="12"/>
      <c r="C39" s="16"/>
      <c r="D39" s="16"/>
      <c r="E39" s="16"/>
      <c r="F39" s="16"/>
      <c r="G39" s="17"/>
      <c r="H39" s="16"/>
      <c r="I39" s="18"/>
      <c r="J39" s="17"/>
      <c r="K39" s="15" t="str">
        <f t="shared" ref="K39:K70" si="2">IF(A39="","",IF(H39="Markup",ROUND(G39*(1+I39/100),2),J39))</f>
        <v/>
      </c>
      <c r="L39" s="16"/>
      <c r="M39" s="15" t="str">
        <f t="shared" ref="M39:M70" si="3">IF(A39="","",E39*G39)</f>
        <v/>
      </c>
    </row>
    <row r="40" spans="1:13" ht="21" customHeight="1">
      <c r="A40" s="16"/>
      <c r="B40" s="12"/>
      <c r="C40" s="16"/>
      <c r="D40" s="16"/>
      <c r="E40" s="16"/>
      <c r="F40" s="16"/>
      <c r="G40" s="17"/>
      <c r="H40" s="16"/>
      <c r="I40" s="18"/>
      <c r="J40" s="17"/>
      <c r="K40" s="15" t="str">
        <f t="shared" si="2"/>
        <v/>
      </c>
      <c r="L40" s="16"/>
      <c r="M40" s="15" t="str">
        <f t="shared" si="3"/>
        <v/>
      </c>
    </row>
    <row r="41" spans="1:13" ht="21" customHeight="1">
      <c r="A41" s="16"/>
      <c r="B41" s="12"/>
      <c r="C41" s="16"/>
      <c r="D41" s="16"/>
      <c r="E41" s="16"/>
      <c r="F41" s="16"/>
      <c r="G41" s="17"/>
      <c r="H41" s="16"/>
      <c r="I41" s="18"/>
      <c r="J41" s="17"/>
      <c r="K41" s="15" t="str">
        <f t="shared" si="2"/>
        <v/>
      </c>
      <c r="L41" s="16"/>
      <c r="M41" s="15" t="str">
        <f t="shared" si="3"/>
        <v/>
      </c>
    </row>
    <row r="42" spans="1:13" ht="21" customHeight="1">
      <c r="A42" s="16"/>
      <c r="B42" s="12"/>
      <c r="C42" s="16"/>
      <c r="D42" s="16"/>
      <c r="E42" s="16"/>
      <c r="F42" s="16"/>
      <c r="G42" s="17"/>
      <c r="H42" s="16"/>
      <c r="I42" s="18"/>
      <c r="J42" s="17"/>
      <c r="K42" s="15" t="str">
        <f t="shared" si="2"/>
        <v/>
      </c>
      <c r="L42" s="16"/>
      <c r="M42" s="15" t="str">
        <f t="shared" si="3"/>
        <v/>
      </c>
    </row>
    <row r="43" spans="1:13" ht="21" customHeight="1">
      <c r="A43" s="16"/>
      <c r="B43" s="12"/>
      <c r="C43" s="16"/>
      <c r="D43" s="16"/>
      <c r="E43" s="16"/>
      <c r="F43" s="16"/>
      <c r="G43" s="17"/>
      <c r="H43" s="16"/>
      <c r="I43" s="18"/>
      <c r="J43" s="17"/>
      <c r="K43" s="15" t="str">
        <f t="shared" si="2"/>
        <v/>
      </c>
      <c r="L43" s="16"/>
      <c r="M43" s="15" t="str">
        <f t="shared" si="3"/>
        <v/>
      </c>
    </row>
    <row r="44" spans="1:13" ht="21" customHeight="1">
      <c r="A44" s="16"/>
      <c r="B44" s="12"/>
      <c r="C44" s="16"/>
      <c r="D44" s="16"/>
      <c r="E44" s="16"/>
      <c r="F44" s="16"/>
      <c r="G44" s="17"/>
      <c r="H44" s="16"/>
      <c r="I44" s="18"/>
      <c r="J44" s="17"/>
      <c r="K44" s="15" t="str">
        <f t="shared" si="2"/>
        <v/>
      </c>
      <c r="L44" s="16"/>
      <c r="M44" s="15" t="str">
        <f t="shared" si="3"/>
        <v/>
      </c>
    </row>
    <row r="45" spans="1:13" ht="21" customHeight="1">
      <c r="A45" s="16"/>
      <c r="B45" s="12"/>
      <c r="C45" s="16"/>
      <c r="D45" s="16"/>
      <c r="E45" s="16"/>
      <c r="F45" s="16"/>
      <c r="G45" s="17"/>
      <c r="H45" s="16"/>
      <c r="I45" s="18"/>
      <c r="J45" s="17"/>
      <c r="K45" s="15" t="str">
        <f t="shared" si="2"/>
        <v/>
      </c>
      <c r="L45" s="16"/>
      <c r="M45" s="15" t="str">
        <f t="shared" si="3"/>
        <v/>
      </c>
    </row>
    <row r="46" spans="1:13" ht="21" customHeight="1">
      <c r="A46" s="16"/>
      <c r="B46" s="12"/>
      <c r="C46" s="16"/>
      <c r="D46" s="16"/>
      <c r="E46" s="16"/>
      <c r="F46" s="16"/>
      <c r="G46" s="17"/>
      <c r="H46" s="16"/>
      <c r="I46" s="18"/>
      <c r="J46" s="17"/>
      <c r="K46" s="15" t="str">
        <f t="shared" si="2"/>
        <v/>
      </c>
      <c r="L46" s="16"/>
      <c r="M46" s="15" t="str">
        <f t="shared" si="3"/>
        <v/>
      </c>
    </row>
    <row r="47" spans="1:13" ht="21" customHeight="1">
      <c r="A47" s="5"/>
      <c r="B47" s="28"/>
      <c r="C47" s="5"/>
      <c r="D47" s="5"/>
      <c r="E47" s="5"/>
      <c r="F47" s="5"/>
      <c r="G47" s="6"/>
      <c r="H47" s="5"/>
      <c r="I47" s="7"/>
      <c r="J47" s="6"/>
      <c r="K47" s="8" t="str">
        <f t="shared" si="2"/>
        <v/>
      </c>
      <c r="L47" s="5"/>
      <c r="M47" s="8" t="str">
        <f t="shared" si="3"/>
        <v/>
      </c>
    </row>
    <row r="48" spans="1:13" ht="21" customHeight="1">
      <c r="A48" s="5"/>
      <c r="B48" s="28"/>
      <c r="C48" s="5"/>
      <c r="D48" s="5"/>
      <c r="E48" s="5"/>
      <c r="F48" s="5"/>
      <c r="G48" s="6"/>
      <c r="H48" s="5"/>
      <c r="I48" s="7"/>
      <c r="J48" s="6"/>
      <c r="K48" s="8" t="str">
        <f t="shared" si="2"/>
        <v/>
      </c>
      <c r="L48" s="5"/>
      <c r="M48" s="8" t="str">
        <f t="shared" si="3"/>
        <v/>
      </c>
    </row>
    <row r="49" spans="1:13" ht="21" customHeight="1">
      <c r="A49" s="5"/>
      <c r="B49" s="28"/>
      <c r="C49" s="5"/>
      <c r="D49" s="5"/>
      <c r="E49" s="5"/>
      <c r="F49" s="5"/>
      <c r="G49" s="6"/>
      <c r="H49" s="5"/>
      <c r="I49" s="7"/>
      <c r="J49" s="6"/>
      <c r="K49" s="8" t="str">
        <f t="shared" si="2"/>
        <v/>
      </c>
      <c r="L49" s="5"/>
      <c r="M49" s="8" t="str">
        <f t="shared" si="3"/>
        <v/>
      </c>
    </row>
    <row r="50" spans="1:13" ht="21" customHeight="1">
      <c r="A50" s="5"/>
      <c r="B50" s="28"/>
      <c r="C50" s="5"/>
      <c r="D50" s="5"/>
      <c r="E50" s="5"/>
      <c r="F50" s="5"/>
      <c r="G50" s="6"/>
      <c r="H50" s="5"/>
      <c r="I50" s="7"/>
      <c r="J50" s="6"/>
      <c r="K50" s="8" t="str">
        <f t="shared" si="2"/>
        <v/>
      </c>
      <c r="L50" s="5"/>
      <c r="M50" s="8" t="str">
        <f t="shared" si="3"/>
        <v/>
      </c>
    </row>
    <row r="51" spans="1:13" ht="21" customHeight="1">
      <c r="A51" s="5"/>
      <c r="B51" s="28"/>
      <c r="C51" s="5"/>
      <c r="D51" s="5"/>
      <c r="E51" s="5"/>
      <c r="F51" s="5"/>
      <c r="G51" s="6"/>
      <c r="H51" s="5"/>
      <c r="I51" s="7"/>
      <c r="J51" s="6"/>
      <c r="K51" s="8" t="str">
        <f t="shared" si="2"/>
        <v/>
      </c>
      <c r="L51" s="5"/>
      <c r="M51" s="8" t="str">
        <f t="shared" si="3"/>
        <v/>
      </c>
    </row>
    <row r="52" spans="1:13" ht="21" customHeight="1">
      <c r="A52" s="5"/>
      <c r="B52" s="28"/>
      <c r="C52" s="5"/>
      <c r="D52" s="5"/>
      <c r="E52" s="5"/>
      <c r="F52" s="5"/>
      <c r="G52" s="6"/>
      <c r="H52" s="5"/>
      <c r="I52" s="7"/>
      <c r="J52" s="6"/>
      <c r="K52" s="8" t="str">
        <f t="shared" si="2"/>
        <v/>
      </c>
      <c r="L52" s="5"/>
      <c r="M52" s="8" t="str">
        <f t="shared" si="3"/>
        <v/>
      </c>
    </row>
    <row r="53" spans="1:13" ht="21" customHeight="1">
      <c r="A53" s="5"/>
      <c r="B53" s="28"/>
      <c r="C53" s="5"/>
      <c r="D53" s="5"/>
      <c r="E53" s="5"/>
      <c r="F53" s="5"/>
      <c r="G53" s="6"/>
      <c r="H53" s="5"/>
      <c r="I53" s="7"/>
      <c r="J53" s="6"/>
      <c r="K53" s="8" t="str">
        <f t="shared" si="2"/>
        <v/>
      </c>
      <c r="L53" s="5"/>
      <c r="M53" s="8" t="str">
        <f t="shared" si="3"/>
        <v/>
      </c>
    </row>
    <row r="54" spans="1:13" ht="21" customHeight="1">
      <c r="A54" s="5"/>
      <c r="B54" s="28"/>
      <c r="C54" s="5"/>
      <c r="D54" s="5"/>
      <c r="E54" s="5"/>
      <c r="F54" s="5"/>
      <c r="G54" s="6"/>
      <c r="H54" s="5"/>
      <c r="I54" s="7"/>
      <c r="J54" s="6"/>
      <c r="K54" s="8" t="str">
        <f t="shared" si="2"/>
        <v/>
      </c>
      <c r="L54" s="5"/>
      <c r="M54" s="8" t="str">
        <f t="shared" si="3"/>
        <v/>
      </c>
    </row>
    <row r="55" spans="1:13" ht="21" customHeight="1">
      <c r="A55" s="5"/>
      <c r="B55" s="28"/>
      <c r="C55" s="5"/>
      <c r="D55" s="5"/>
      <c r="E55" s="5"/>
      <c r="F55" s="5"/>
      <c r="G55" s="6"/>
      <c r="H55" s="5"/>
      <c r="I55" s="7"/>
      <c r="J55" s="6"/>
      <c r="K55" s="8" t="str">
        <f t="shared" si="2"/>
        <v/>
      </c>
      <c r="L55" s="5"/>
      <c r="M55" s="8" t="str">
        <f t="shared" si="3"/>
        <v/>
      </c>
    </row>
    <row r="56" spans="1:13" ht="21" customHeight="1">
      <c r="A56" s="5"/>
      <c r="B56" s="28"/>
      <c r="C56" s="5"/>
      <c r="D56" s="5"/>
      <c r="E56" s="5"/>
      <c r="F56" s="5"/>
      <c r="G56" s="6"/>
      <c r="H56" s="5"/>
      <c r="I56" s="7"/>
      <c r="J56" s="6"/>
      <c r="K56" s="8" t="str">
        <f t="shared" si="2"/>
        <v/>
      </c>
      <c r="L56" s="5"/>
      <c r="M56" s="8" t="str">
        <f t="shared" si="3"/>
        <v/>
      </c>
    </row>
    <row r="57" spans="1:13" ht="21" customHeight="1">
      <c r="A57" s="5"/>
      <c r="B57" s="28"/>
      <c r="C57" s="5"/>
      <c r="D57" s="5"/>
      <c r="E57" s="5"/>
      <c r="F57" s="5"/>
      <c r="G57" s="6"/>
      <c r="H57" s="5"/>
      <c r="I57" s="7"/>
      <c r="J57" s="6"/>
      <c r="K57" s="8" t="str">
        <f t="shared" si="2"/>
        <v/>
      </c>
      <c r="L57" s="5"/>
      <c r="M57" s="8" t="str">
        <f t="shared" si="3"/>
        <v/>
      </c>
    </row>
    <row r="58" spans="1:13" ht="21" customHeight="1">
      <c r="A58" s="5"/>
      <c r="B58" s="28"/>
      <c r="C58" s="5"/>
      <c r="D58" s="5"/>
      <c r="E58" s="5"/>
      <c r="F58" s="5"/>
      <c r="G58" s="6"/>
      <c r="H58" s="5"/>
      <c r="I58" s="7"/>
      <c r="J58" s="6"/>
      <c r="K58" s="8" t="str">
        <f t="shared" si="2"/>
        <v/>
      </c>
      <c r="L58" s="5"/>
      <c r="M58" s="8" t="str">
        <f t="shared" si="3"/>
        <v/>
      </c>
    </row>
    <row r="59" spans="1:13" ht="21" customHeight="1">
      <c r="A59" s="5"/>
      <c r="B59" s="28"/>
      <c r="C59" s="5"/>
      <c r="D59" s="5"/>
      <c r="E59" s="5"/>
      <c r="F59" s="5"/>
      <c r="G59" s="6"/>
      <c r="H59" s="5"/>
      <c r="I59" s="7"/>
      <c r="J59" s="6"/>
      <c r="K59" s="8" t="str">
        <f t="shared" si="2"/>
        <v/>
      </c>
      <c r="L59" s="5"/>
      <c r="M59" s="8" t="str">
        <f t="shared" si="3"/>
        <v/>
      </c>
    </row>
    <row r="60" spans="1:13" ht="21" customHeight="1">
      <c r="A60" s="5"/>
      <c r="B60" s="28"/>
      <c r="C60" s="5"/>
      <c r="D60" s="5"/>
      <c r="E60" s="5"/>
      <c r="F60" s="5"/>
      <c r="G60" s="6"/>
      <c r="H60" s="5"/>
      <c r="I60" s="7"/>
      <c r="J60" s="6"/>
      <c r="K60" s="8" t="str">
        <f t="shared" si="2"/>
        <v/>
      </c>
      <c r="L60" s="5"/>
      <c r="M60" s="8" t="str">
        <f t="shared" si="3"/>
        <v/>
      </c>
    </row>
    <row r="61" spans="1:13" ht="21" customHeight="1">
      <c r="A61" s="5"/>
      <c r="B61" s="28"/>
      <c r="C61" s="5"/>
      <c r="D61" s="5"/>
      <c r="E61" s="5"/>
      <c r="F61" s="5"/>
      <c r="G61" s="6"/>
      <c r="H61" s="5"/>
      <c r="I61" s="7"/>
      <c r="J61" s="6"/>
      <c r="K61" s="8" t="str">
        <f t="shared" si="2"/>
        <v/>
      </c>
      <c r="L61" s="5"/>
      <c r="M61" s="8" t="str">
        <f t="shared" si="3"/>
        <v/>
      </c>
    </row>
    <row r="62" spans="1:13" ht="21" customHeight="1">
      <c r="A62" s="5"/>
      <c r="B62" s="28"/>
      <c r="C62" s="5"/>
      <c r="D62" s="5"/>
      <c r="E62" s="5"/>
      <c r="F62" s="5"/>
      <c r="G62" s="6"/>
      <c r="H62" s="5"/>
      <c r="I62" s="7"/>
      <c r="J62" s="6"/>
      <c r="K62" s="8" t="str">
        <f t="shared" si="2"/>
        <v/>
      </c>
      <c r="L62" s="5"/>
      <c r="M62" s="8" t="str">
        <f t="shared" si="3"/>
        <v/>
      </c>
    </row>
    <row r="63" spans="1:13" ht="21" customHeight="1">
      <c r="A63" s="5"/>
      <c r="B63" s="28"/>
      <c r="C63" s="5"/>
      <c r="D63" s="5"/>
      <c r="E63" s="5"/>
      <c r="F63" s="5"/>
      <c r="G63" s="6"/>
      <c r="H63" s="5"/>
      <c r="I63" s="7"/>
      <c r="J63" s="6"/>
      <c r="K63" s="8" t="str">
        <f t="shared" si="2"/>
        <v/>
      </c>
      <c r="L63" s="5"/>
      <c r="M63" s="8" t="str">
        <f t="shared" si="3"/>
        <v/>
      </c>
    </row>
    <row r="64" spans="1:13" ht="21" customHeight="1">
      <c r="A64" s="5"/>
      <c r="B64" s="28"/>
      <c r="C64" s="5"/>
      <c r="D64" s="5"/>
      <c r="E64" s="5"/>
      <c r="F64" s="5"/>
      <c r="G64" s="6"/>
      <c r="H64" s="5"/>
      <c r="I64" s="7"/>
      <c r="J64" s="6"/>
      <c r="K64" s="8" t="str">
        <f t="shared" si="2"/>
        <v/>
      </c>
      <c r="L64" s="5"/>
      <c r="M64" s="8" t="str">
        <f t="shared" si="3"/>
        <v/>
      </c>
    </row>
    <row r="65" spans="1:13" ht="21" customHeight="1">
      <c r="A65" s="5"/>
      <c r="B65" s="28"/>
      <c r="C65" s="5"/>
      <c r="D65" s="5"/>
      <c r="E65" s="5"/>
      <c r="F65" s="5"/>
      <c r="G65" s="6"/>
      <c r="H65" s="5"/>
      <c r="I65" s="7"/>
      <c r="J65" s="6"/>
      <c r="K65" s="8" t="str">
        <f t="shared" si="2"/>
        <v/>
      </c>
      <c r="L65" s="5"/>
      <c r="M65" s="8" t="str">
        <f t="shared" si="3"/>
        <v/>
      </c>
    </row>
    <row r="66" spans="1:13" ht="21" customHeight="1">
      <c r="A66" s="5"/>
      <c r="B66" s="28"/>
      <c r="C66" s="5"/>
      <c r="D66" s="5"/>
      <c r="E66" s="5"/>
      <c r="F66" s="5"/>
      <c r="G66" s="6"/>
      <c r="H66" s="5"/>
      <c r="I66" s="7"/>
      <c r="J66" s="6"/>
      <c r="K66" s="8" t="str">
        <f t="shared" si="2"/>
        <v/>
      </c>
      <c r="L66" s="5"/>
      <c r="M66" s="8" t="str">
        <f t="shared" si="3"/>
        <v/>
      </c>
    </row>
    <row r="67" spans="1:13" ht="21" customHeight="1">
      <c r="A67" s="5"/>
      <c r="B67" s="28"/>
      <c r="C67" s="5"/>
      <c r="D67" s="5"/>
      <c r="E67" s="5"/>
      <c r="F67" s="5"/>
      <c r="G67" s="6"/>
      <c r="H67" s="5"/>
      <c r="I67" s="7"/>
      <c r="J67" s="6"/>
      <c r="K67" s="8" t="str">
        <f t="shared" si="2"/>
        <v/>
      </c>
      <c r="L67" s="5"/>
      <c r="M67" s="8" t="str">
        <f t="shared" si="3"/>
        <v/>
      </c>
    </row>
    <row r="68" spans="1:13" ht="21" customHeight="1">
      <c r="A68" s="5"/>
      <c r="B68" s="28"/>
      <c r="C68" s="5"/>
      <c r="D68" s="5"/>
      <c r="E68" s="5"/>
      <c r="F68" s="5"/>
      <c r="G68" s="6"/>
      <c r="H68" s="5"/>
      <c r="I68" s="7"/>
      <c r="J68" s="6"/>
      <c r="K68" s="8" t="str">
        <f t="shared" si="2"/>
        <v/>
      </c>
      <c r="L68" s="5"/>
      <c r="M68" s="8" t="str">
        <f t="shared" si="3"/>
        <v/>
      </c>
    </row>
    <row r="69" spans="1:13" ht="21" customHeight="1">
      <c r="A69" s="5"/>
      <c r="B69" s="28"/>
      <c r="C69" s="5"/>
      <c r="D69" s="5"/>
      <c r="E69" s="5"/>
      <c r="F69" s="5"/>
      <c r="G69" s="6"/>
      <c r="H69" s="5"/>
      <c r="I69" s="7"/>
      <c r="J69" s="6"/>
      <c r="K69" s="8" t="str">
        <f t="shared" si="2"/>
        <v/>
      </c>
      <c r="L69" s="5"/>
      <c r="M69" s="8" t="str">
        <f t="shared" si="3"/>
        <v/>
      </c>
    </row>
    <row r="70" spans="1:13" ht="21" customHeight="1">
      <c r="A70" s="5"/>
      <c r="B70" s="28"/>
      <c r="C70" s="5"/>
      <c r="D70" s="5"/>
      <c r="E70" s="5"/>
      <c r="F70" s="5"/>
      <c r="G70" s="6"/>
      <c r="H70" s="5"/>
      <c r="I70" s="7"/>
      <c r="J70" s="6"/>
      <c r="K70" s="8" t="str">
        <f t="shared" si="2"/>
        <v/>
      </c>
      <c r="L70" s="5"/>
      <c r="M70" s="8" t="str">
        <f t="shared" si="3"/>
        <v/>
      </c>
    </row>
    <row r="71" spans="1:13" ht="21" customHeight="1">
      <c r="A71" s="5"/>
      <c r="B71" s="28"/>
      <c r="C71" s="5"/>
      <c r="D71" s="5"/>
      <c r="E71" s="5"/>
      <c r="F71" s="5"/>
      <c r="G71" s="6"/>
      <c r="H71" s="5"/>
      <c r="I71" s="7"/>
      <c r="J71" s="6"/>
      <c r="K71" s="8" t="str">
        <f t="shared" ref="K71:K102" si="4">IF(A71="","",IF(H71="Markup",ROUND(G71*(1+I71/100),2),J71))</f>
        <v/>
      </c>
      <c r="L71" s="5"/>
      <c r="M71" s="8" t="str">
        <f t="shared" ref="M71:M106" si="5">IF(A71="","",E71*G71)</f>
        <v/>
      </c>
    </row>
    <row r="72" spans="1:13" ht="21" customHeight="1">
      <c r="A72" s="5"/>
      <c r="B72" s="28"/>
      <c r="C72" s="5"/>
      <c r="D72" s="5"/>
      <c r="E72" s="5"/>
      <c r="F72" s="5"/>
      <c r="G72" s="6"/>
      <c r="H72" s="5"/>
      <c r="I72" s="7"/>
      <c r="J72" s="6"/>
      <c r="K72" s="8" t="str">
        <f t="shared" si="4"/>
        <v/>
      </c>
      <c r="L72" s="5"/>
      <c r="M72" s="8" t="str">
        <f t="shared" si="5"/>
        <v/>
      </c>
    </row>
    <row r="73" spans="1:13" ht="21" customHeight="1">
      <c r="A73" s="5"/>
      <c r="B73" s="28"/>
      <c r="C73" s="5"/>
      <c r="D73" s="5"/>
      <c r="E73" s="5"/>
      <c r="F73" s="5"/>
      <c r="G73" s="6"/>
      <c r="H73" s="5"/>
      <c r="I73" s="7"/>
      <c r="J73" s="6"/>
      <c r="K73" s="8" t="str">
        <f t="shared" si="4"/>
        <v/>
      </c>
      <c r="L73" s="5"/>
      <c r="M73" s="8" t="str">
        <f t="shared" si="5"/>
        <v/>
      </c>
    </row>
    <row r="74" spans="1:13" ht="21" customHeight="1">
      <c r="A74" s="5"/>
      <c r="B74" s="28"/>
      <c r="C74" s="5"/>
      <c r="D74" s="5"/>
      <c r="E74" s="5"/>
      <c r="F74" s="5"/>
      <c r="G74" s="6"/>
      <c r="H74" s="5"/>
      <c r="I74" s="7"/>
      <c r="J74" s="6"/>
      <c r="K74" s="8" t="str">
        <f t="shared" si="4"/>
        <v/>
      </c>
      <c r="L74" s="5"/>
      <c r="M74" s="8" t="str">
        <f t="shared" si="5"/>
        <v/>
      </c>
    </row>
    <row r="75" spans="1:13" ht="21" customHeight="1">
      <c r="A75" s="5"/>
      <c r="B75" s="28"/>
      <c r="C75" s="5"/>
      <c r="D75" s="5"/>
      <c r="E75" s="5"/>
      <c r="F75" s="5"/>
      <c r="G75" s="6"/>
      <c r="H75" s="5"/>
      <c r="I75" s="7"/>
      <c r="J75" s="6"/>
      <c r="K75" s="8" t="str">
        <f t="shared" si="4"/>
        <v/>
      </c>
      <c r="L75" s="5"/>
      <c r="M75" s="8" t="str">
        <f t="shared" si="5"/>
        <v/>
      </c>
    </row>
    <row r="76" spans="1:13" ht="21" customHeight="1">
      <c r="A76" s="5"/>
      <c r="B76" s="28"/>
      <c r="C76" s="5"/>
      <c r="D76" s="5"/>
      <c r="E76" s="5"/>
      <c r="F76" s="5"/>
      <c r="G76" s="6"/>
      <c r="H76" s="5"/>
      <c r="I76" s="7"/>
      <c r="J76" s="6"/>
      <c r="K76" s="8" t="str">
        <f t="shared" si="4"/>
        <v/>
      </c>
      <c r="L76" s="5"/>
      <c r="M76" s="8" t="str">
        <f t="shared" si="5"/>
        <v/>
      </c>
    </row>
    <row r="77" spans="1:13" ht="21" customHeight="1">
      <c r="A77" s="5"/>
      <c r="B77" s="28"/>
      <c r="C77" s="5"/>
      <c r="D77" s="5"/>
      <c r="E77" s="5"/>
      <c r="F77" s="5"/>
      <c r="G77" s="6"/>
      <c r="H77" s="5"/>
      <c r="I77" s="7"/>
      <c r="J77" s="6"/>
      <c r="K77" s="8" t="str">
        <f t="shared" si="4"/>
        <v/>
      </c>
      <c r="L77" s="5"/>
      <c r="M77" s="8" t="str">
        <f t="shared" si="5"/>
        <v/>
      </c>
    </row>
    <row r="78" spans="1:13" ht="21" customHeight="1">
      <c r="A78" s="5"/>
      <c r="B78" s="28"/>
      <c r="C78" s="5"/>
      <c r="D78" s="5"/>
      <c r="E78" s="5"/>
      <c r="F78" s="5"/>
      <c r="G78" s="6"/>
      <c r="H78" s="5"/>
      <c r="I78" s="7"/>
      <c r="J78" s="6"/>
      <c r="K78" s="8" t="str">
        <f t="shared" si="4"/>
        <v/>
      </c>
      <c r="L78" s="5"/>
      <c r="M78" s="8" t="str">
        <f t="shared" si="5"/>
        <v/>
      </c>
    </row>
    <row r="79" spans="1:13" ht="21" customHeight="1">
      <c r="A79" s="5"/>
      <c r="B79" s="28"/>
      <c r="C79" s="5"/>
      <c r="D79" s="5"/>
      <c r="E79" s="5"/>
      <c r="F79" s="5"/>
      <c r="G79" s="6"/>
      <c r="H79" s="5"/>
      <c r="I79" s="7"/>
      <c r="J79" s="6"/>
      <c r="K79" s="8" t="str">
        <f t="shared" si="4"/>
        <v/>
      </c>
      <c r="L79" s="5"/>
      <c r="M79" s="8" t="str">
        <f t="shared" si="5"/>
        <v/>
      </c>
    </row>
    <row r="80" spans="1:13" ht="21" customHeight="1">
      <c r="A80" s="5"/>
      <c r="B80" s="28"/>
      <c r="C80" s="5"/>
      <c r="D80" s="5"/>
      <c r="E80" s="5"/>
      <c r="F80" s="5"/>
      <c r="G80" s="6"/>
      <c r="H80" s="5"/>
      <c r="I80" s="7"/>
      <c r="J80" s="6"/>
      <c r="K80" s="8" t="str">
        <f t="shared" si="4"/>
        <v/>
      </c>
      <c r="L80" s="5"/>
      <c r="M80" s="8" t="str">
        <f t="shared" si="5"/>
        <v/>
      </c>
    </row>
    <row r="81" spans="1:13" ht="21" customHeight="1">
      <c r="A81" s="5"/>
      <c r="B81" s="28"/>
      <c r="C81" s="5"/>
      <c r="D81" s="5"/>
      <c r="E81" s="5"/>
      <c r="F81" s="5"/>
      <c r="G81" s="6"/>
      <c r="H81" s="5"/>
      <c r="I81" s="7"/>
      <c r="J81" s="6"/>
      <c r="K81" s="8" t="str">
        <f t="shared" si="4"/>
        <v/>
      </c>
      <c r="L81" s="5"/>
      <c r="M81" s="8" t="str">
        <f t="shared" si="5"/>
        <v/>
      </c>
    </row>
    <row r="82" spans="1:13" ht="21" customHeight="1">
      <c r="A82" s="5"/>
      <c r="B82" s="28"/>
      <c r="C82" s="5"/>
      <c r="D82" s="5"/>
      <c r="E82" s="5"/>
      <c r="F82" s="5"/>
      <c r="G82" s="6"/>
      <c r="H82" s="5"/>
      <c r="I82" s="7"/>
      <c r="J82" s="6"/>
      <c r="K82" s="8" t="str">
        <f t="shared" si="4"/>
        <v/>
      </c>
      <c r="L82" s="5"/>
      <c r="M82" s="8" t="str">
        <f t="shared" si="5"/>
        <v/>
      </c>
    </row>
    <row r="83" spans="1:13" ht="21" customHeight="1">
      <c r="A83" s="5"/>
      <c r="B83" s="28"/>
      <c r="C83" s="5"/>
      <c r="D83" s="5"/>
      <c r="E83" s="5"/>
      <c r="F83" s="5"/>
      <c r="G83" s="6"/>
      <c r="H83" s="5"/>
      <c r="I83" s="7"/>
      <c r="J83" s="6"/>
      <c r="K83" s="8" t="str">
        <f t="shared" si="4"/>
        <v/>
      </c>
      <c r="L83" s="5"/>
      <c r="M83" s="8" t="str">
        <f t="shared" si="5"/>
        <v/>
      </c>
    </row>
    <row r="84" spans="1:13" ht="21" customHeight="1">
      <c r="A84" s="5"/>
      <c r="B84" s="28"/>
      <c r="C84" s="5"/>
      <c r="D84" s="5"/>
      <c r="E84" s="5"/>
      <c r="F84" s="5"/>
      <c r="G84" s="6"/>
      <c r="H84" s="5"/>
      <c r="I84" s="7"/>
      <c r="J84" s="6"/>
      <c r="K84" s="8" t="str">
        <f t="shared" si="4"/>
        <v/>
      </c>
      <c r="L84" s="5"/>
      <c r="M84" s="8" t="str">
        <f t="shared" si="5"/>
        <v/>
      </c>
    </row>
    <row r="85" spans="1:13" ht="21" customHeight="1">
      <c r="A85" s="5"/>
      <c r="B85" s="28"/>
      <c r="C85" s="5"/>
      <c r="D85" s="5"/>
      <c r="E85" s="5"/>
      <c r="F85" s="5"/>
      <c r="G85" s="6"/>
      <c r="H85" s="5"/>
      <c r="I85" s="7"/>
      <c r="J85" s="6"/>
      <c r="K85" s="8" t="str">
        <f t="shared" si="4"/>
        <v/>
      </c>
      <c r="L85" s="5"/>
      <c r="M85" s="8" t="str">
        <f t="shared" si="5"/>
        <v/>
      </c>
    </row>
    <row r="86" spans="1:13" ht="21" customHeight="1">
      <c r="A86" s="5"/>
      <c r="B86" s="28"/>
      <c r="C86" s="5"/>
      <c r="D86" s="5"/>
      <c r="E86" s="5"/>
      <c r="F86" s="5"/>
      <c r="G86" s="6"/>
      <c r="H86" s="5"/>
      <c r="I86" s="7"/>
      <c r="J86" s="6"/>
      <c r="K86" s="8" t="str">
        <f t="shared" si="4"/>
        <v/>
      </c>
      <c r="L86" s="5"/>
      <c r="M86" s="8" t="str">
        <f t="shared" si="5"/>
        <v/>
      </c>
    </row>
    <row r="87" spans="1:13" ht="21" customHeight="1">
      <c r="A87" s="5"/>
      <c r="B87" s="28"/>
      <c r="C87" s="5"/>
      <c r="D87" s="5"/>
      <c r="E87" s="5"/>
      <c r="F87" s="5"/>
      <c r="G87" s="6"/>
      <c r="H87" s="5"/>
      <c r="I87" s="7"/>
      <c r="J87" s="6"/>
      <c r="K87" s="8" t="str">
        <f t="shared" si="4"/>
        <v/>
      </c>
      <c r="L87" s="5"/>
      <c r="M87" s="8" t="str">
        <f t="shared" si="5"/>
        <v/>
      </c>
    </row>
    <row r="88" spans="1:13" ht="21" customHeight="1">
      <c r="A88" s="5"/>
      <c r="B88" s="28"/>
      <c r="C88" s="5"/>
      <c r="D88" s="5"/>
      <c r="E88" s="5"/>
      <c r="F88" s="5"/>
      <c r="G88" s="6"/>
      <c r="H88" s="5"/>
      <c r="I88" s="7"/>
      <c r="J88" s="6"/>
      <c r="K88" s="8" t="str">
        <f t="shared" si="4"/>
        <v/>
      </c>
      <c r="L88" s="5"/>
      <c r="M88" s="8" t="str">
        <f t="shared" si="5"/>
        <v/>
      </c>
    </row>
    <row r="89" spans="1:13" ht="21" customHeight="1">
      <c r="A89" s="5"/>
      <c r="B89" s="28"/>
      <c r="C89" s="5"/>
      <c r="D89" s="5"/>
      <c r="E89" s="5"/>
      <c r="F89" s="5"/>
      <c r="G89" s="6"/>
      <c r="H89" s="5"/>
      <c r="I89" s="7"/>
      <c r="J89" s="6"/>
      <c r="K89" s="8" t="str">
        <f t="shared" si="4"/>
        <v/>
      </c>
      <c r="L89" s="5"/>
      <c r="M89" s="8" t="str">
        <f t="shared" si="5"/>
        <v/>
      </c>
    </row>
    <row r="90" spans="1:13" ht="21" customHeight="1">
      <c r="A90" s="5"/>
      <c r="B90" s="28"/>
      <c r="C90" s="5"/>
      <c r="D90" s="5"/>
      <c r="E90" s="5"/>
      <c r="F90" s="5"/>
      <c r="G90" s="6"/>
      <c r="H90" s="5"/>
      <c r="I90" s="7"/>
      <c r="J90" s="6"/>
      <c r="K90" s="8" t="str">
        <f t="shared" si="4"/>
        <v/>
      </c>
      <c r="L90" s="5"/>
      <c r="M90" s="8" t="str">
        <f t="shared" si="5"/>
        <v/>
      </c>
    </row>
    <row r="91" spans="1:13" ht="21" customHeight="1">
      <c r="A91" s="5"/>
      <c r="B91" s="28"/>
      <c r="C91" s="5"/>
      <c r="D91" s="5"/>
      <c r="E91" s="5"/>
      <c r="F91" s="5"/>
      <c r="G91" s="6"/>
      <c r="H91" s="5"/>
      <c r="I91" s="7"/>
      <c r="J91" s="6"/>
      <c r="K91" s="8" t="str">
        <f t="shared" si="4"/>
        <v/>
      </c>
      <c r="L91" s="5"/>
      <c r="M91" s="8" t="str">
        <f t="shared" si="5"/>
        <v/>
      </c>
    </row>
    <row r="92" spans="1:13" ht="21" customHeight="1">
      <c r="A92" s="5"/>
      <c r="B92" s="28"/>
      <c r="C92" s="5"/>
      <c r="D92" s="5"/>
      <c r="E92" s="5"/>
      <c r="F92" s="5"/>
      <c r="G92" s="6"/>
      <c r="H92" s="5"/>
      <c r="I92" s="7"/>
      <c r="J92" s="6"/>
      <c r="K92" s="8" t="str">
        <f t="shared" si="4"/>
        <v/>
      </c>
      <c r="L92" s="5"/>
      <c r="M92" s="8" t="str">
        <f t="shared" si="5"/>
        <v/>
      </c>
    </row>
    <row r="93" spans="1:13" ht="21" customHeight="1">
      <c r="A93" s="5"/>
      <c r="B93" s="28"/>
      <c r="C93" s="5"/>
      <c r="D93" s="5"/>
      <c r="E93" s="5"/>
      <c r="F93" s="5"/>
      <c r="G93" s="6"/>
      <c r="H93" s="5"/>
      <c r="I93" s="7"/>
      <c r="J93" s="6"/>
      <c r="K93" s="8" t="str">
        <f t="shared" si="4"/>
        <v/>
      </c>
      <c r="L93" s="5"/>
      <c r="M93" s="8" t="str">
        <f t="shared" si="5"/>
        <v/>
      </c>
    </row>
    <row r="94" spans="1:13" ht="21" customHeight="1">
      <c r="A94" s="5"/>
      <c r="B94" s="28"/>
      <c r="C94" s="5"/>
      <c r="D94" s="5"/>
      <c r="E94" s="5"/>
      <c r="F94" s="5"/>
      <c r="G94" s="6"/>
      <c r="H94" s="5"/>
      <c r="I94" s="7"/>
      <c r="J94" s="6"/>
      <c r="K94" s="8" t="str">
        <f t="shared" si="4"/>
        <v/>
      </c>
      <c r="L94" s="5"/>
      <c r="M94" s="8" t="str">
        <f t="shared" si="5"/>
        <v/>
      </c>
    </row>
    <row r="95" spans="1:13" ht="21" customHeight="1">
      <c r="A95" s="5"/>
      <c r="B95" s="28"/>
      <c r="C95" s="5"/>
      <c r="D95" s="5"/>
      <c r="E95" s="5"/>
      <c r="F95" s="5"/>
      <c r="G95" s="6"/>
      <c r="H95" s="5"/>
      <c r="I95" s="7"/>
      <c r="J95" s="6"/>
      <c r="K95" s="8" t="str">
        <f t="shared" si="4"/>
        <v/>
      </c>
      <c r="L95" s="5"/>
      <c r="M95" s="8" t="str">
        <f t="shared" si="5"/>
        <v/>
      </c>
    </row>
    <row r="96" spans="1:13" ht="21" customHeight="1">
      <c r="A96" s="5"/>
      <c r="B96" s="28"/>
      <c r="C96" s="5"/>
      <c r="D96" s="5"/>
      <c r="E96" s="5"/>
      <c r="F96" s="5"/>
      <c r="G96" s="6"/>
      <c r="H96" s="5"/>
      <c r="I96" s="7"/>
      <c r="J96" s="6"/>
      <c r="K96" s="8" t="str">
        <f t="shared" si="4"/>
        <v/>
      </c>
      <c r="L96" s="5"/>
      <c r="M96" s="8" t="str">
        <f t="shared" si="5"/>
        <v/>
      </c>
    </row>
    <row r="97" spans="1:13" ht="21" customHeight="1">
      <c r="A97" s="5"/>
      <c r="B97" s="28"/>
      <c r="C97" s="5"/>
      <c r="D97" s="5"/>
      <c r="E97" s="5"/>
      <c r="F97" s="5"/>
      <c r="G97" s="6"/>
      <c r="H97" s="5"/>
      <c r="I97" s="7"/>
      <c r="J97" s="6"/>
      <c r="K97" s="8" t="str">
        <f t="shared" si="4"/>
        <v/>
      </c>
      <c r="L97" s="5"/>
      <c r="M97" s="8" t="str">
        <f t="shared" si="5"/>
        <v/>
      </c>
    </row>
    <row r="98" spans="1:13" ht="21" customHeight="1">
      <c r="A98" s="5"/>
      <c r="B98" s="28"/>
      <c r="C98" s="5"/>
      <c r="D98" s="5"/>
      <c r="E98" s="5"/>
      <c r="F98" s="5"/>
      <c r="G98" s="6"/>
      <c r="H98" s="5"/>
      <c r="I98" s="7"/>
      <c r="J98" s="6"/>
      <c r="K98" s="8" t="str">
        <f t="shared" si="4"/>
        <v/>
      </c>
      <c r="L98" s="5"/>
      <c r="M98" s="8" t="str">
        <f t="shared" si="5"/>
        <v/>
      </c>
    </row>
    <row r="99" spans="1:13" ht="21" customHeight="1">
      <c r="A99" s="5"/>
      <c r="B99" s="28"/>
      <c r="C99" s="5"/>
      <c r="D99" s="5"/>
      <c r="E99" s="5"/>
      <c r="F99" s="5"/>
      <c r="G99" s="6"/>
      <c r="H99" s="5"/>
      <c r="I99" s="7"/>
      <c r="J99" s="6"/>
      <c r="K99" s="8" t="str">
        <f t="shared" si="4"/>
        <v/>
      </c>
      <c r="L99" s="5"/>
      <c r="M99" s="8" t="str">
        <f t="shared" si="5"/>
        <v/>
      </c>
    </row>
    <row r="100" spans="1:13" ht="21" customHeight="1">
      <c r="A100" s="5"/>
      <c r="B100" s="28"/>
      <c r="C100" s="5"/>
      <c r="D100" s="5"/>
      <c r="E100" s="5"/>
      <c r="F100" s="5"/>
      <c r="G100" s="6"/>
      <c r="H100" s="5"/>
      <c r="I100" s="7"/>
      <c r="J100" s="6"/>
      <c r="K100" s="8" t="str">
        <f t="shared" si="4"/>
        <v/>
      </c>
      <c r="L100" s="5"/>
      <c r="M100" s="8" t="str">
        <f t="shared" si="5"/>
        <v/>
      </c>
    </row>
    <row r="101" spans="1:13" ht="21" customHeight="1">
      <c r="A101" s="5"/>
      <c r="B101" s="28"/>
      <c r="C101" s="5"/>
      <c r="D101" s="5"/>
      <c r="E101" s="5"/>
      <c r="F101" s="5"/>
      <c r="G101" s="6"/>
      <c r="H101" s="5"/>
      <c r="I101" s="7"/>
      <c r="J101" s="6"/>
      <c r="K101" s="8" t="str">
        <f t="shared" si="4"/>
        <v/>
      </c>
      <c r="L101" s="5"/>
      <c r="M101" s="8" t="str">
        <f t="shared" si="5"/>
        <v/>
      </c>
    </row>
    <row r="102" spans="1:13" ht="21" customHeight="1">
      <c r="A102" s="5"/>
      <c r="B102" s="28"/>
      <c r="C102" s="5"/>
      <c r="D102" s="5"/>
      <c r="E102" s="5"/>
      <c r="F102" s="5"/>
      <c r="G102" s="6"/>
      <c r="H102" s="5"/>
      <c r="I102" s="7"/>
      <c r="J102" s="6"/>
      <c r="K102" s="8" t="str">
        <f t="shared" si="4"/>
        <v/>
      </c>
      <c r="L102" s="5"/>
      <c r="M102" s="8" t="str">
        <f t="shared" si="5"/>
        <v/>
      </c>
    </row>
    <row r="103" spans="1:13" ht="21" customHeight="1">
      <c r="A103" s="5"/>
      <c r="B103" s="28"/>
      <c r="C103" s="5"/>
      <c r="D103" s="5"/>
      <c r="E103" s="5"/>
      <c r="F103" s="5"/>
      <c r="G103" s="6"/>
      <c r="H103" s="5"/>
      <c r="I103" s="7"/>
      <c r="J103" s="6"/>
      <c r="K103" s="8" t="str">
        <f t="shared" ref="K103:K106" si="6">IF(A103="","",IF(H103="Markup",ROUND(G103*(1+I103/100),2),J103))</f>
        <v/>
      </c>
      <c r="L103" s="5"/>
      <c r="M103" s="8" t="str">
        <f t="shared" si="5"/>
        <v/>
      </c>
    </row>
    <row r="104" spans="1:13" ht="21" customHeight="1">
      <c r="A104" s="5"/>
      <c r="B104" s="28"/>
      <c r="C104" s="5"/>
      <c r="D104" s="5"/>
      <c r="E104" s="5"/>
      <c r="F104" s="5"/>
      <c r="G104" s="6"/>
      <c r="H104" s="5"/>
      <c r="I104" s="7"/>
      <c r="J104" s="6"/>
      <c r="K104" s="8" t="str">
        <f t="shared" si="6"/>
        <v/>
      </c>
      <c r="L104" s="5"/>
      <c r="M104" s="8" t="str">
        <f t="shared" si="5"/>
        <v/>
      </c>
    </row>
    <row r="105" spans="1:13" ht="21" customHeight="1">
      <c r="A105" s="5"/>
      <c r="B105" s="28"/>
      <c r="C105" s="5"/>
      <c r="D105" s="5"/>
      <c r="E105" s="5"/>
      <c r="F105" s="5"/>
      <c r="G105" s="6"/>
      <c r="H105" s="5"/>
      <c r="I105" s="7"/>
      <c r="J105" s="6"/>
      <c r="K105" s="8" t="str">
        <f t="shared" si="6"/>
        <v/>
      </c>
      <c r="L105" s="5"/>
      <c r="M105" s="8" t="str">
        <f t="shared" si="5"/>
        <v/>
      </c>
    </row>
    <row r="106" spans="1:13" ht="21" customHeight="1">
      <c r="A106" s="5"/>
      <c r="B106" s="28"/>
      <c r="C106" s="5"/>
      <c r="D106" s="5"/>
      <c r="E106" s="5"/>
      <c r="F106" s="5"/>
      <c r="G106" s="6"/>
      <c r="H106" s="5"/>
      <c r="I106" s="7"/>
      <c r="J106" s="6"/>
      <c r="K106" s="8" t="str">
        <f t="shared" si="6"/>
        <v/>
      </c>
      <c r="L106" s="5"/>
      <c r="M106" s="8" t="str">
        <f t="shared" si="5"/>
        <v/>
      </c>
    </row>
  </sheetData>
  <mergeCells count="2">
    <mergeCell ref="A1:M2"/>
    <mergeCell ref="A4:M4"/>
  </mergeCells>
  <dataValidations count="2">
    <dataValidation type="list" sqref="C7:C106" xr:uid="{00000000-0002-0000-0100-000000000000}">
      <formula1>"Yes,No"</formula1>
    </dataValidation>
    <dataValidation type="list" sqref="H7:H106" xr:uid="{00000000-0002-0000-0100-000001000000}">
      <formula1>"Manual,Markup"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zoomScale="79" workbookViewId="0">
      <pane ySplit="6" topLeftCell="A7" activePane="bottomLeft" state="frozen"/>
      <selection pane="bottomLeft" activeCell="G9" sqref="G9"/>
    </sheetView>
  </sheetViews>
  <sheetFormatPr defaultRowHeight="13.8"/>
  <cols>
    <col min="1" max="1" width="26" style="1" customWidth="1"/>
    <col min="2" max="2" width="32" style="1" customWidth="1"/>
    <col min="3" max="4" width="18" style="1" customWidth="1"/>
    <col min="5" max="5" width="20" style="1" customWidth="1"/>
    <col min="6" max="6" width="21" style="1" customWidth="1"/>
    <col min="7" max="10" width="22" style="1" customWidth="1"/>
    <col min="11" max="16384" width="8.796875" style="1"/>
  </cols>
  <sheetData>
    <row r="1" spans="1:10" ht="28.05" customHeight="1">
      <c r="A1" s="26" t="s">
        <v>85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28.05" customHeight="1">
      <c r="A2" s="26"/>
      <c r="B2" s="26"/>
      <c r="C2" s="26"/>
      <c r="D2" s="26"/>
      <c r="E2" s="26"/>
      <c r="F2" s="26"/>
      <c r="G2" s="26"/>
      <c r="H2" s="26"/>
      <c r="I2" s="26"/>
      <c r="J2" s="26"/>
    </row>
    <row r="4" spans="1:10" ht="28.95" customHeight="1">
      <c r="A4" s="27" t="s">
        <v>86</v>
      </c>
      <c r="B4" s="27"/>
      <c r="C4" s="27"/>
      <c r="D4" s="27"/>
      <c r="E4" s="27"/>
      <c r="F4" s="27"/>
      <c r="G4" s="27"/>
      <c r="H4" s="27"/>
      <c r="I4" s="27"/>
      <c r="J4" s="27"/>
    </row>
    <row r="5" spans="1:10" ht="36.6" customHeight="1">
      <c r="A5" s="1" t="s">
        <v>106</v>
      </c>
    </row>
    <row r="6" spans="1:10" ht="40.049999999999997" customHeight="1">
      <c r="A6" s="2" t="s">
        <v>87</v>
      </c>
      <c r="B6" s="2" t="s">
        <v>88</v>
      </c>
      <c r="C6" s="2" t="s">
        <v>89</v>
      </c>
      <c r="D6" s="2" t="s">
        <v>90</v>
      </c>
      <c r="E6" s="2" t="s">
        <v>91</v>
      </c>
      <c r="F6" s="2" t="s">
        <v>92</v>
      </c>
      <c r="G6" s="2" t="s">
        <v>93</v>
      </c>
      <c r="H6" s="2" t="s">
        <v>94</v>
      </c>
      <c r="I6" s="2" t="s">
        <v>95</v>
      </c>
      <c r="J6" s="2" t="s">
        <v>96</v>
      </c>
    </row>
    <row r="7" spans="1:10" ht="27" customHeight="1">
      <c r="A7" s="9" t="s">
        <v>109</v>
      </c>
      <c r="B7" s="9" t="s">
        <v>119</v>
      </c>
      <c r="C7" s="10">
        <v>46325</v>
      </c>
      <c r="D7" s="9" t="s">
        <v>110</v>
      </c>
      <c r="E7" s="11"/>
      <c r="F7" s="10"/>
      <c r="G7" s="3">
        <f>SUM('PRODUCTS AND VARIANTS'!M7:M106)</f>
        <v>18200</v>
      </c>
      <c r="H7" s="3">
        <f>IF(D7="Cash",G7,IF(E7="",0,E7))</f>
        <v>18200</v>
      </c>
      <c r="I7" s="3">
        <f>MAX(0,G7-H7)</f>
        <v>0</v>
      </c>
      <c r="J7" s="4" t="str">
        <f>IF(G7=0,"",IF(I7=0,"Paid","Unpaid / Partial"))</f>
        <v>Paid</v>
      </c>
    </row>
  </sheetData>
  <mergeCells count="2">
    <mergeCell ref="A1:J2"/>
    <mergeCell ref="A4:J4"/>
  </mergeCells>
  <dataValidations count="1">
    <dataValidation type="list" sqref="D7" xr:uid="{620A5EE5-E340-40CE-BD51-26D043E423D0}">
      <formula1>"Cash,Credit"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HERE</vt:lpstr>
      <vt:lpstr>PRODUCTS AND VARIANTS</vt:lpstr>
      <vt:lpstr>PURCHASE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Vianne Maningo</dc:creator>
  <cp:lastModifiedBy>Stephanie Vianne Maningo</cp:lastModifiedBy>
  <dcterms:created xsi:type="dcterms:W3CDTF">2026-10-09T08:52:00Z</dcterms:created>
  <dcterms:modified xsi:type="dcterms:W3CDTF">2026-10-30T07:42:52Z</dcterms:modified>
</cp:coreProperties>
</file>